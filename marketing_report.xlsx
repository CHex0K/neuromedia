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2" autoFilterDateGrouping="1"/>
  </bookViews>
  <sheets>
    <sheet xmlns:r="http://schemas.openxmlformats.org/officeDocument/2006/relationships" name="1_RAW_CORRELATION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3_INDEX_SCORES" sheetId="3" state="visible" r:id="rId3"/>
    <sheet xmlns:r="http://schemas.openxmlformats.org/officeDocument/2006/relationships" name="2_FRAME_MARKUP" sheetId="4" state="visible" r:id="rId4"/>
    <sheet xmlns:r="http://schemas.openxmlformats.org/officeDocument/2006/relationships" name="5_WEIGHTS_REF" sheetId="5" state="visible" r:id="rId5"/>
    <sheet xmlns:r="http://schemas.openxmlformats.org/officeDocument/2006/relationships" name="4_WINDOW_AGGREGAT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555555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2" fillId="2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23"/>
  <sheetViews>
    <sheetView workbookViewId="0">
      <pane xSplit="4" ySplit="3" topLeftCell="BA4" activePane="bottomRight" state="frozen"/>
      <selection pane="topRight" activeCell="E1" sqref="E1"/>
      <selection pane="bottomLeft" activeCell="A4" sqref="A4"/>
      <selection pane="bottomRight" activeCell="H5" sqref="H5"/>
    </sheetView>
  </sheetViews>
  <sheetFormatPr baseColWidth="8" defaultRowHeight="14.5"/>
  <cols>
    <col width="10.7265625" customWidth="1" min="1" max="1"/>
    <col width="8.7265625" customWidth="1" min="2" max="2"/>
    <col width="34.7265625" customWidth="1" min="3" max="3"/>
    <col width="20.7265625" customWidth="1" min="4" max="4"/>
    <col width="14.7265625" customWidth="1" min="5" max="55"/>
  </cols>
  <sheetData>
    <row r="2">
      <c r="A2" s="1" t="inlineStr">
        <is>
          <t>frame_id</t>
        </is>
      </c>
      <c r="B2" s="1" t="inlineStr">
        <is>
          <t>second</t>
        </is>
      </c>
      <c r="C2" s="1" t="inlineStr">
        <is>
          <t>scene_description</t>
        </is>
      </c>
      <c r="D2" s="1" t="inlineStr">
        <is>
          <t>frame_image</t>
        </is>
      </c>
      <c r="E2" s="1" t="inlineStr">
        <is>
          <t>ATT</t>
        </is>
      </c>
      <c r="F2" s="1" t="inlineStr">
        <is>
          <t>ATT</t>
        </is>
      </c>
      <c r="G2" s="1" t="inlineStr">
        <is>
          <t>ATT</t>
        </is>
      </c>
      <c r="H2" s="1" t="inlineStr">
        <is>
          <t>ATT</t>
        </is>
      </c>
      <c r="I2" s="1" t="inlineStr">
        <is>
          <t>ATT</t>
        </is>
      </c>
      <c r="J2" s="1" t="inlineStr">
        <is>
          <t>ATT</t>
        </is>
      </c>
      <c r="K2" s="1" t="inlineStr">
        <is>
          <t>ATT</t>
        </is>
      </c>
      <c r="L2" s="1" t="inlineStr">
        <is>
          <t>ATT</t>
        </is>
      </c>
      <c r="M2" s="1" t="inlineStr">
        <is>
          <t>AFF_A</t>
        </is>
      </c>
      <c r="N2" s="1" t="inlineStr">
        <is>
          <t>AFF_A</t>
        </is>
      </c>
      <c r="O2" s="1" t="inlineStr">
        <is>
          <t>AFF_A</t>
        </is>
      </c>
      <c r="P2" s="1" t="inlineStr">
        <is>
          <t>AFF_A</t>
        </is>
      </c>
      <c r="Q2" s="1" t="inlineStr">
        <is>
          <t>AFF_A</t>
        </is>
      </c>
      <c r="R2" s="1" t="inlineStr">
        <is>
          <t>AFF_V</t>
        </is>
      </c>
      <c r="S2" s="1" t="inlineStr">
        <is>
          <t>AFF_V</t>
        </is>
      </c>
      <c r="T2" s="1" t="inlineStr">
        <is>
          <t>AFF_V</t>
        </is>
      </c>
      <c r="U2" s="1" t="inlineStr">
        <is>
          <t>AFF_V</t>
        </is>
      </c>
      <c r="V2" s="1" t="inlineStr">
        <is>
          <t>AFF_V</t>
        </is>
      </c>
      <c r="W2" s="1" t="inlineStr">
        <is>
          <t>MEM</t>
        </is>
      </c>
      <c r="X2" s="1" t="inlineStr">
        <is>
          <t>MEM</t>
        </is>
      </c>
      <c r="Y2" s="1" t="inlineStr">
        <is>
          <t>MEM</t>
        </is>
      </c>
      <c r="Z2" s="1" t="inlineStr">
        <is>
          <t>MEM</t>
        </is>
      </c>
      <c r="AA2" s="1" t="inlineStr">
        <is>
          <t>MEM</t>
        </is>
      </c>
      <c r="AB2" s="1" t="inlineStr">
        <is>
          <t>MEM</t>
        </is>
      </c>
      <c r="AC2" s="1" t="inlineStr">
        <is>
          <t>MEM</t>
        </is>
      </c>
      <c r="AD2" s="1" t="inlineStr">
        <is>
          <t>REW</t>
        </is>
      </c>
      <c r="AE2" s="1" t="inlineStr">
        <is>
          <t>REW</t>
        </is>
      </c>
      <c r="AF2" s="1" t="inlineStr">
        <is>
          <t>REW</t>
        </is>
      </c>
      <c r="AG2" s="1" t="inlineStr">
        <is>
          <t>REW</t>
        </is>
      </c>
      <c r="AH2" s="1" t="inlineStr">
        <is>
          <t>REW</t>
        </is>
      </c>
      <c r="AI2" s="1" t="inlineStr">
        <is>
          <t>REW</t>
        </is>
      </c>
      <c r="AJ2" s="1" t="inlineStr">
        <is>
          <t>REW</t>
        </is>
      </c>
      <c r="AK2" s="1" t="inlineStr">
        <is>
          <t>REW</t>
        </is>
      </c>
      <c r="AL2" s="1" t="inlineStr">
        <is>
          <t>REW</t>
        </is>
      </c>
      <c r="AM2" s="1" t="inlineStr">
        <is>
          <t>SOC</t>
        </is>
      </c>
      <c r="AN2" s="1" t="inlineStr">
        <is>
          <t>SOC</t>
        </is>
      </c>
      <c r="AO2" s="1" t="inlineStr">
        <is>
          <t>SOC</t>
        </is>
      </c>
      <c r="AP2" s="1" t="inlineStr">
        <is>
          <t>SOC</t>
        </is>
      </c>
      <c r="AQ2" s="1" t="inlineStr">
        <is>
          <t>SOC</t>
        </is>
      </c>
      <c r="AR2" s="1" t="inlineStr">
        <is>
          <t>SOC</t>
        </is>
      </c>
      <c r="AS2" s="1" t="inlineStr">
        <is>
          <t>SOC</t>
        </is>
      </c>
      <c r="AT2" s="1" t="inlineStr">
        <is>
          <t>SOC</t>
        </is>
      </c>
      <c r="AU2" s="1" t="inlineStr">
        <is>
          <t>COG_CL</t>
        </is>
      </c>
      <c r="AV2" s="1" t="inlineStr">
        <is>
          <t>COG_CL</t>
        </is>
      </c>
      <c r="AW2" s="1" t="inlineStr">
        <is>
          <t>COG_CL</t>
        </is>
      </c>
      <c r="AX2" s="1" t="inlineStr">
        <is>
          <t>COG_CL</t>
        </is>
      </c>
      <c r="AY2" s="1" t="inlineStr">
        <is>
          <t>COG_LD</t>
        </is>
      </c>
      <c r="AZ2" s="1" t="inlineStr">
        <is>
          <t>COG_LD</t>
        </is>
      </c>
      <c r="BA2" s="1" t="inlineStr">
        <is>
          <t>COG_LD</t>
        </is>
      </c>
      <c r="BB2" s="1" t="inlineStr">
        <is>
          <t>COG_LD</t>
        </is>
      </c>
      <c r="BC2" s="1" t="inlineStr">
        <is>
          <t>COG_LD</t>
        </is>
      </c>
    </row>
    <row r="3" ht="29" customHeight="1">
      <c r="A3" s="2" t="inlineStr">
        <is>
          <t>frame_id</t>
        </is>
      </c>
      <c r="B3" s="2" t="inlineStr">
        <is>
          <t>second</t>
        </is>
      </c>
      <c r="C3" s="2" t="inlineStr">
        <is>
          <t>scene_description</t>
        </is>
      </c>
      <c r="D3" s="2" t="inlineStr">
        <is>
          <t>frame_image</t>
        </is>
      </c>
      <c r="E3" s="2" t="inlineStr">
        <is>
          <t>attention</t>
        </is>
      </c>
      <c r="F3" s="2" t="inlineStr">
        <is>
          <t>visual_attention</t>
        </is>
      </c>
      <c r="G3" s="2" t="inlineStr">
        <is>
          <t>attentional</t>
        </is>
      </c>
      <c r="H3" s="2" t="inlineStr">
        <is>
          <t>orienting</t>
        </is>
      </c>
      <c r="I3" s="2" t="inlineStr">
        <is>
          <t>target_detection</t>
        </is>
      </c>
      <c r="J3" s="2" t="inlineStr">
        <is>
          <t>salience</t>
        </is>
      </c>
      <c r="K3" s="2" t="inlineStr">
        <is>
          <t>visual_stimuli</t>
        </is>
      </c>
      <c r="L3" s="2" t="inlineStr">
        <is>
          <t>distractor</t>
        </is>
      </c>
      <c r="M3" s="2" t="inlineStr">
        <is>
          <t>arousal</t>
        </is>
      </c>
      <c r="N3" s="2" t="inlineStr">
        <is>
          <t>affective</t>
        </is>
      </c>
      <c r="O3" s="2" t="inlineStr">
        <is>
          <t>emotional</t>
        </is>
      </c>
      <c r="P3" s="2" t="inlineStr">
        <is>
          <t>emotional_stimuli</t>
        </is>
      </c>
      <c r="Q3" s="2" t="inlineStr">
        <is>
          <t>emotional_responses</t>
        </is>
      </c>
      <c r="R3" s="2" t="inlineStr">
        <is>
          <t>valence</t>
        </is>
      </c>
      <c r="S3" s="2" t="inlineStr">
        <is>
          <t>negative_affect</t>
        </is>
      </c>
      <c r="T3" s="2" t="inlineStr">
        <is>
          <t>disgust</t>
        </is>
      </c>
      <c r="U3" s="2" t="inlineStr">
        <is>
          <t>fear</t>
        </is>
      </c>
      <c r="V3" s="2" t="inlineStr">
        <is>
          <t>anxiety</t>
        </is>
      </c>
      <c r="W3" s="2" t="inlineStr">
        <is>
          <t>encoding</t>
        </is>
      </c>
      <c r="X3" s="2" t="inlineStr">
        <is>
          <t>subsequent_memory</t>
        </is>
      </c>
      <c r="Y3" s="2" t="inlineStr">
        <is>
          <t>episodic_memory</t>
        </is>
      </c>
      <c r="Z3" s="2" t="inlineStr">
        <is>
          <t>semantic_memory</t>
        </is>
      </c>
      <c r="AA3" s="2" t="inlineStr">
        <is>
          <t>recall</t>
        </is>
      </c>
      <c r="AB3" s="2" t="inlineStr">
        <is>
          <t>recognition</t>
        </is>
      </c>
      <c r="AC3" s="2" t="inlineStr">
        <is>
          <t>familiarity</t>
        </is>
      </c>
      <c r="AD3" s="2" t="inlineStr">
        <is>
          <t>reward</t>
        </is>
      </c>
      <c r="AE3" s="2" t="inlineStr">
        <is>
          <t>reward_anticipation</t>
        </is>
      </c>
      <c r="AF3" s="2" t="inlineStr">
        <is>
          <t>motivation</t>
        </is>
      </c>
      <c r="AG3" s="2" t="inlineStr">
        <is>
          <t>value</t>
        </is>
      </c>
      <c r="AH3" s="2" t="inlineStr">
        <is>
          <t>incentive</t>
        </is>
      </c>
      <c r="AI3" s="2" t="inlineStr">
        <is>
          <t>preference</t>
        </is>
      </c>
      <c r="AJ3" s="2" t="inlineStr">
        <is>
          <t>approach</t>
        </is>
      </c>
      <c r="AK3" s="2" t="inlineStr">
        <is>
          <t>monetary_reward</t>
        </is>
      </c>
      <c r="AL3" s="2" t="inlineStr">
        <is>
          <t>craving</t>
        </is>
      </c>
      <c r="AM3" s="2" t="inlineStr">
        <is>
          <t>social_cognition</t>
        </is>
      </c>
      <c r="AN3" s="2" t="inlineStr">
        <is>
          <t>mentalizing</t>
        </is>
      </c>
      <c r="AO3" s="2" t="inlineStr">
        <is>
          <t>theory_mind</t>
        </is>
      </c>
      <c r="AP3" s="2" t="inlineStr">
        <is>
          <t>face</t>
        </is>
      </c>
      <c r="AQ3" s="2" t="inlineStr">
        <is>
          <t>gaze</t>
        </is>
      </c>
      <c r="AR3" s="2" t="inlineStr">
        <is>
          <t>self_referential</t>
        </is>
      </c>
      <c r="AS3" s="2" t="inlineStr">
        <is>
          <t>empathy</t>
        </is>
      </c>
      <c r="AT3" s="2" t="inlineStr">
        <is>
          <t>social</t>
        </is>
      </c>
      <c r="AU3" s="2" t="inlineStr">
        <is>
          <t>language</t>
        </is>
      </c>
      <c r="AV3" s="2" t="inlineStr">
        <is>
          <t>semantic</t>
        </is>
      </c>
      <c r="AW3" s="2" t="inlineStr">
        <is>
          <t>sentence_comprehension</t>
        </is>
      </c>
      <c r="AX3" s="2" t="inlineStr">
        <is>
          <t>comprehension</t>
        </is>
      </c>
      <c r="AY3" s="2" t="inlineStr">
        <is>
          <t>working_memory</t>
        </is>
      </c>
      <c r="AZ3" s="2" t="inlineStr">
        <is>
          <t>cognitive_control</t>
        </is>
      </c>
      <c r="BA3" s="2" t="inlineStr">
        <is>
          <t>executive_function</t>
        </is>
      </c>
      <c r="BB3" s="2" t="inlineStr">
        <is>
          <t>inhibition</t>
        </is>
      </c>
      <c r="BC3" s="2" t="inlineStr">
        <is>
          <t>task_difficulty</t>
        </is>
      </c>
    </row>
    <row r="4" ht="56" customHeight="1">
      <c r="A4" s="3" t="inlineStr">
        <is>
          <t>F01</t>
        </is>
      </c>
      <c r="B4" s="3" t="n">
        <v>1</v>
      </c>
      <c r="C4" s="4" t="inlineStr"/>
      <c r="E4" s="5" t="n">
        <v>0.2438395306965228</v>
      </c>
      <c r="F4" s="5" t="n">
        <v>0.2303455448211529</v>
      </c>
      <c r="G4" s="5" t="n">
        <v>0.25316870579256</v>
      </c>
      <c r="H4" s="5" t="n">
        <v>0.1793164969945653</v>
      </c>
      <c r="I4" s="5" t="n">
        <v>0.090665952280583</v>
      </c>
      <c r="J4" s="5" t="n">
        <v>-0.1946453926972642</v>
      </c>
      <c r="K4" s="5" t="n">
        <v>0.3334306278607595</v>
      </c>
      <c r="L4" s="5" t="n">
        <v>0.1323780758898252</v>
      </c>
      <c r="M4" s="5" t="n">
        <v>-0.1310390673819775</v>
      </c>
      <c r="N4" s="5" t="n">
        <v>-0.2339130826248882</v>
      </c>
      <c r="O4" s="5" t="n">
        <v>-0.2212957957202562</v>
      </c>
      <c r="P4" s="5" t="n">
        <v>-0.1109854590549214</v>
      </c>
      <c r="Q4" s="5" t="n">
        <v>-0.0696243679689128</v>
      </c>
      <c r="R4" s="5" t="n">
        <v>-0.1736152972224851</v>
      </c>
      <c r="S4" s="5" t="n">
        <v>-0.2259856775506565</v>
      </c>
      <c r="T4" s="5" t="n">
        <v>-0.0054389617350147</v>
      </c>
      <c r="U4" s="5" t="n">
        <v>-0.1253582033695005</v>
      </c>
      <c r="V4" s="5" t="n">
        <v>-0.2230022799916083</v>
      </c>
      <c r="W4" s="5" t="n">
        <v>0.0390995738338421</v>
      </c>
      <c r="X4" s="5" t="n">
        <v>-0.0615459414165905</v>
      </c>
      <c r="Y4" s="5" t="n">
        <v>-0.2300376721314058</v>
      </c>
      <c r="Z4" s="5" t="n">
        <v>-0.234216943873235</v>
      </c>
      <c r="AA4" s="5" t="n">
        <v>-0.246032486170361</v>
      </c>
      <c r="AB4" s="5" t="n">
        <v>0.1002500408845818</v>
      </c>
      <c r="AC4" s="5" t="n">
        <v>-0.0313707263864628</v>
      </c>
      <c r="AD4" s="5" t="n">
        <v>-0.1829618826454479</v>
      </c>
      <c r="AE4" s="5" t="n">
        <v>0.0044380256178196</v>
      </c>
      <c r="AF4" s="5" t="n">
        <v>-0.0971431466025163</v>
      </c>
      <c r="AG4" s="5" t="n">
        <v>-0.1957106181452083</v>
      </c>
      <c r="AH4" s="5" t="n">
        <v>-0.08540298966118751</v>
      </c>
      <c r="AI4" s="5" t="n">
        <v>0.1934817100694195</v>
      </c>
      <c r="AJ4" s="5" t="n">
        <v>-0.1329653488552825</v>
      </c>
      <c r="AK4" s="5" t="n">
        <v>-0.0617876793260507</v>
      </c>
      <c r="AL4" s="5" t="n">
        <v>-0.112045118516474</v>
      </c>
      <c r="AM4" s="5" t="n">
        <v>-0.2350006967775234</v>
      </c>
      <c r="AN4" s="5" t="n">
        <v>-0.2448363151940426</v>
      </c>
      <c r="AO4" s="5" t="n">
        <v>-0.3383518485390261</v>
      </c>
      <c r="AP4" s="5" t="n">
        <v>0.2032833850013465</v>
      </c>
      <c r="AQ4" s="5" t="n">
        <v>0.2380160018546499</v>
      </c>
      <c r="AR4" s="5" t="n">
        <v>-0.3515272884755551</v>
      </c>
      <c r="AS4" s="5" t="n">
        <v>-0.1626175560190816</v>
      </c>
      <c r="AT4" s="5" t="n">
        <v>-0.2843370746543014</v>
      </c>
      <c r="AU4" s="5" t="n">
        <v>0.1086640638803666</v>
      </c>
      <c r="AV4" s="5" t="n">
        <v>-0.0645675993913078</v>
      </c>
      <c r="AW4" s="5" t="n">
        <v>0.0064857845397903</v>
      </c>
      <c r="AX4" s="5" t="n">
        <v>-0.0492708342728522</v>
      </c>
      <c r="AY4" s="5" t="n">
        <v>0.1199695113601952</v>
      </c>
      <c r="AZ4" s="5" t="n">
        <v>-0.09333433458493511</v>
      </c>
      <c r="BA4" s="5" t="n">
        <v>-0.0505612067334456</v>
      </c>
      <c r="BB4" s="5" t="n">
        <v>-0.0665285316559545</v>
      </c>
      <c r="BC4" s="5" t="n">
        <v>0.09391149980553661</v>
      </c>
    </row>
    <row r="5" ht="56" customHeight="1">
      <c r="A5" s="3" t="inlineStr">
        <is>
          <t>F02</t>
        </is>
      </c>
      <c r="B5" s="3" t="n">
        <v>2</v>
      </c>
      <c r="C5" s="4" t="inlineStr"/>
      <c r="E5" s="5" t="n">
        <v>0.1842889168500809</v>
      </c>
      <c r="F5" s="5" t="n">
        <v>0.2413180649998533</v>
      </c>
      <c r="G5" s="5" t="n">
        <v>0.1863604168381087</v>
      </c>
      <c r="H5" s="5" t="n">
        <v>0.1126060952103141</v>
      </c>
      <c r="I5" s="5" t="n">
        <v>0.0292907946005295</v>
      </c>
      <c r="J5" s="5" t="n">
        <v>-0.1884442153361548</v>
      </c>
      <c r="K5" s="5" t="n">
        <v>0.3795228766355474</v>
      </c>
      <c r="L5" s="5" t="n">
        <v>0.1034450647235816</v>
      </c>
      <c r="M5" s="5" t="n">
        <v>-0.1042644076583317</v>
      </c>
      <c r="N5" s="5" t="n">
        <v>-0.2192388963965993</v>
      </c>
      <c r="O5" s="5" t="n">
        <v>-0.1419105874945993</v>
      </c>
      <c r="P5" s="5" t="n">
        <v>-0.0427450582450944</v>
      </c>
      <c r="Q5" s="5" t="n">
        <v>-0.0738191343551311</v>
      </c>
      <c r="R5" s="5" t="n">
        <v>-0.0916762879536325</v>
      </c>
      <c r="S5" s="5" t="n">
        <v>-0.2154640984831587</v>
      </c>
      <c r="T5" s="5" t="n">
        <v>0.0726672222174307</v>
      </c>
      <c r="U5" s="5" t="n">
        <v>-0.06749066493731309</v>
      </c>
      <c r="V5" s="5" t="n">
        <v>-0.2020616483052968</v>
      </c>
      <c r="W5" s="5" t="n">
        <v>0.1569704240614153</v>
      </c>
      <c r="X5" s="5" t="n">
        <v>0.0593064995084732</v>
      </c>
      <c r="Y5" s="5" t="n">
        <v>-0.1388248861040107</v>
      </c>
      <c r="Z5" s="5" t="n">
        <v>-0.1363175116739138</v>
      </c>
      <c r="AA5" s="5" t="n">
        <v>-0.2007000835935798</v>
      </c>
      <c r="AB5" s="5" t="n">
        <v>0.257860983364155</v>
      </c>
      <c r="AC5" s="5" t="n">
        <v>0.0809744387365704</v>
      </c>
      <c r="AD5" s="5" t="n">
        <v>-0.1963279898362009</v>
      </c>
      <c r="AE5" s="5" t="n">
        <v>0.0010649166695199</v>
      </c>
      <c r="AF5" s="5" t="n">
        <v>-0.1045767730229316</v>
      </c>
      <c r="AG5" s="5" t="n">
        <v>-0.1858547676106913</v>
      </c>
      <c r="AH5" s="5" t="n">
        <v>-0.0993810618979727</v>
      </c>
      <c r="AI5" s="5" t="n">
        <v>0.2159747836302572</v>
      </c>
      <c r="AJ5" s="5" t="n">
        <v>-0.1223289845191823</v>
      </c>
      <c r="AK5" s="5" t="n">
        <v>-0.08020793226679759</v>
      </c>
      <c r="AL5" s="5" t="n">
        <v>-0.06995516408250819</v>
      </c>
      <c r="AM5" s="5" t="n">
        <v>-0.1491830109186438</v>
      </c>
      <c r="AN5" s="5" t="n">
        <v>-0.173982916225547</v>
      </c>
      <c r="AO5" s="5" t="n">
        <v>-0.2439022394255302</v>
      </c>
      <c r="AP5" s="5" t="n">
        <v>0.4013790276925284</v>
      </c>
      <c r="AQ5" s="5" t="n">
        <v>0.2922870395753493</v>
      </c>
      <c r="AR5" s="5" t="n">
        <v>-0.2908754594241812</v>
      </c>
      <c r="AS5" s="5" t="n">
        <v>-0.131716412357639</v>
      </c>
      <c r="AT5" s="5" t="n">
        <v>-0.1655014171692528</v>
      </c>
      <c r="AU5" s="5" t="n">
        <v>0.1437641184834936</v>
      </c>
      <c r="AV5" s="5" t="n">
        <v>0.0477480408640845</v>
      </c>
      <c r="AW5" s="5" t="n">
        <v>-0.0125068811956198</v>
      </c>
      <c r="AX5" s="5" t="n">
        <v>0.0035400805183157</v>
      </c>
      <c r="AY5" s="5" t="n">
        <v>0.0320283455091</v>
      </c>
      <c r="AZ5" s="5" t="n">
        <v>-0.2121816390145267</v>
      </c>
      <c r="BA5" s="5" t="n">
        <v>-0.0908906908995436</v>
      </c>
      <c r="BB5" s="5" t="n">
        <v>-0.2099475564321757</v>
      </c>
      <c r="BC5" s="5" t="n">
        <v>0.0682535394407459</v>
      </c>
    </row>
    <row r="6" ht="56" customHeight="1">
      <c r="A6" s="3" t="inlineStr">
        <is>
          <t>F03</t>
        </is>
      </c>
      <c r="B6" s="3" t="n">
        <v>3</v>
      </c>
      <c r="C6" s="4" t="inlineStr"/>
      <c r="E6" s="5" t="n">
        <v>0.2109005692355923</v>
      </c>
      <c r="F6" s="5" t="n">
        <v>0.2614938234691203</v>
      </c>
      <c r="G6" s="5" t="n">
        <v>0.2163029243051067</v>
      </c>
      <c r="H6" s="5" t="n">
        <v>0.1280842291501332</v>
      </c>
      <c r="I6" s="5" t="n">
        <v>0.0298398074639313</v>
      </c>
      <c r="J6" s="5" t="n">
        <v>-0.1808132385765241</v>
      </c>
      <c r="K6" s="5" t="n">
        <v>0.3864419437005312</v>
      </c>
      <c r="L6" s="5" t="n">
        <v>0.1212421927780079</v>
      </c>
      <c r="M6" s="5" t="n">
        <v>-0.108990870726503</v>
      </c>
      <c r="N6" s="5" t="n">
        <v>-0.234399702387963</v>
      </c>
      <c r="O6" s="5" t="n">
        <v>-0.1533866893467849</v>
      </c>
      <c r="P6" s="5" t="n">
        <v>-0.0492593767647647</v>
      </c>
      <c r="Q6" s="5" t="n">
        <v>-0.0916846755224294</v>
      </c>
      <c r="R6" s="5" t="n">
        <v>-0.1033100139800198</v>
      </c>
      <c r="S6" s="5" t="n">
        <v>-0.2182167920974346</v>
      </c>
      <c r="T6" s="5" t="n">
        <v>0.07788035434820439</v>
      </c>
      <c r="U6" s="5" t="n">
        <v>-0.0691703781181478</v>
      </c>
      <c r="V6" s="5" t="n">
        <v>-0.2024112175072348</v>
      </c>
      <c r="W6" s="5" t="n">
        <v>0.1745779706057657</v>
      </c>
      <c r="X6" s="5" t="n">
        <v>0.06609605320836411</v>
      </c>
      <c r="Y6" s="5" t="n">
        <v>-0.1353667918232731</v>
      </c>
      <c r="Z6" s="5" t="n">
        <v>-0.1407752889817405</v>
      </c>
      <c r="AA6" s="5" t="n">
        <v>-0.2050722036956845</v>
      </c>
      <c r="AB6" s="5" t="n">
        <v>0.2661192626382128</v>
      </c>
      <c r="AC6" s="5" t="n">
        <v>0.0959894351346865</v>
      </c>
      <c r="AD6" s="5" t="n">
        <v>-0.1945781626448169</v>
      </c>
      <c r="AE6" s="5" t="n">
        <v>0.0014048327207378</v>
      </c>
      <c r="AF6" s="5" t="n">
        <v>-0.09948591641012899</v>
      </c>
      <c r="AG6" s="5" t="n">
        <v>-0.1867011490744186</v>
      </c>
      <c r="AH6" s="5" t="n">
        <v>-0.0924773396409518</v>
      </c>
      <c r="AI6" s="5" t="n">
        <v>0.211892827465122</v>
      </c>
      <c r="AJ6" s="5" t="n">
        <v>-0.1330071950710218</v>
      </c>
      <c r="AK6" s="5" t="n">
        <v>-0.0716371511032081</v>
      </c>
      <c r="AL6" s="5" t="n">
        <v>-0.0684480907970295</v>
      </c>
      <c r="AM6" s="5" t="n">
        <v>-0.166290478853419</v>
      </c>
      <c r="AN6" s="5" t="n">
        <v>-0.1849180779726115</v>
      </c>
      <c r="AO6" s="5" t="n">
        <v>-0.2560116630678772</v>
      </c>
      <c r="AP6" s="5" t="n">
        <v>0.4041595619147486</v>
      </c>
      <c r="AQ6" s="5" t="n">
        <v>0.2964533214102163</v>
      </c>
      <c r="AR6" s="5" t="n">
        <v>-0.2937045508494579</v>
      </c>
      <c r="AS6" s="5" t="n">
        <v>-0.1346545926328528</v>
      </c>
      <c r="AT6" s="5" t="n">
        <v>-0.1839205747037328</v>
      </c>
      <c r="AU6" s="5" t="n">
        <v>0.1112235122427974</v>
      </c>
      <c r="AV6" s="5" t="n">
        <v>0.0299764053730125</v>
      </c>
      <c r="AW6" s="5" t="n">
        <v>-0.0347847593282248</v>
      </c>
      <c r="AX6" s="5" t="n">
        <v>-0.035198575208041</v>
      </c>
      <c r="AY6" s="5" t="n">
        <v>0.0573761239051659</v>
      </c>
      <c r="AZ6" s="5" t="n">
        <v>-0.1992697202292101</v>
      </c>
      <c r="BA6" s="5" t="n">
        <v>-0.0849783304775051</v>
      </c>
      <c r="BB6" s="5" t="n">
        <v>-0.2089037796975033</v>
      </c>
      <c r="BC6" s="5" t="n">
        <v>0.0916874134014147</v>
      </c>
    </row>
    <row r="7" ht="56" customHeight="1">
      <c r="A7" s="3" t="inlineStr">
        <is>
          <t>F04</t>
        </is>
      </c>
      <c r="B7" s="3" t="n">
        <v>4</v>
      </c>
      <c r="C7" s="4" t="inlineStr"/>
      <c r="E7" s="5" t="n">
        <v>0.20205171721369</v>
      </c>
      <c r="F7" s="5" t="n">
        <v>0.2592026267183305</v>
      </c>
      <c r="G7" s="5" t="n">
        <v>0.2064347212567168</v>
      </c>
      <c r="H7" s="5" t="n">
        <v>0.1194317176598606</v>
      </c>
      <c r="I7" s="5" t="n">
        <v>0.0317146744539977</v>
      </c>
      <c r="J7" s="5" t="n">
        <v>-0.2030334022786379</v>
      </c>
      <c r="K7" s="5" t="n">
        <v>0.3773663695470884</v>
      </c>
      <c r="L7" s="5" t="n">
        <v>0.116521550361352</v>
      </c>
      <c r="M7" s="5" t="n">
        <v>-0.1126746747093117</v>
      </c>
      <c r="N7" s="5" t="n">
        <v>-0.2395141624480616</v>
      </c>
      <c r="O7" s="5" t="n">
        <v>-0.1668449374218575</v>
      </c>
      <c r="P7" s="5" t="n">
        <v>-0.0608492410966663</v>
      </c>
      <c r="Q7" s="5" t="n">
        <v>-0.10475583564075</v>
      </c>
      <c r="R7" s="5" t="n">
        <v>-0.1138786998755032</v>
      </c>
      <c r="S7" s="5" t="n">
        <v>-0.2248542206460104</v>
      </c>
      <c r="T7" s="5" t="n">
        <v>0.0709377066374481</v>
      </c>
      <c r="U7" s="5" t="n">
        <v>-0.08005499535580721</v>
      </c>
      <c r="V7" s="5" t="n">
        <v>-0.2164420922909291</v>
      </c>
      <c r="W7" s="5" t="n">
        <v>0.162202785970169</v>
      </c>
      <c r="X7" s="5" t="n">
        <v>0.057643391974321</v>
      </c>
      <c r="Y7" s="5" t="n">
        <v>-0.1535657905660632</v>
      </c>
      <c r="Z7" s="5" t="n">
        <v>-0.1429381536361507</v>
      </c>
      <c r="AA7" s="5" t="n">
        <v>-0.2155037982514149</v>
      </c>
      <c r="AB7" s="5" t="n">
        <v>0.2581793352949454</v>
      </c>
      <c r="AC7" s="5" t="n">
        <v>0.0954057870455567</v>
      </c>
      <c r="AD7" s="5" t="n">
        <v>-0.2159027012917031</v>
      </c>
      <c r="AE7" s="5" t="n">
        <v>-0.014020039229031</v>
      </c>
      <c r="AF7" s="5" t="n">
        <v>-0.1127835056394946</v>
      </c>
      <c r="AG7" s="5" t="n">
        <v>-0.2019303084022599</v>
      </c>
      <c r="AH7" s="5" t="n">
        <v>-0.1041580195266249</v>
      </c>
      <c r="AI7" s="5" t="n">
        <v>0.2040717715556207</v>
      </c>
      <c r="AJ7" s="5" t="n">
        <v>-0.1406834984881894</v>
      </c>
      <c r="AK7" s="5" t="n">
        <v>-0.08761431572057859</v>
      </c>
      <c r="AL7" s="5" t="n">
        <v>-0.07748069928768481</v>
      </c>
      <c r="AM7" s="5" t="n">
        <v>-0.1698173121999154</v>
      </c>
      <c r="AN7" s="5" t="n">
        <v>-0.1858378578221826</v>
      </c>
      <c r="AO7" s="5" t="n">
        <v>-0.2585416955076041</v>
      </c>
      <c r="AP7" s="5" t="n">
        <v>0.3947376866278125</v>
      </c>
      <c r="AQ7" s="5" t="n">
        <v>0.3016462408164835</v>
      </c>
      <c r="AR7" s="5" t="n">
        <v>-0.3030561490001978</v>
      </c>
      <c r="AS7" s="5" t="n">
        <v>-0.1308773721821051</v>
      </c>
      <c r="AT7" s="5" t="n">
        <v>-0.1917902338396308</v>
      </c>
      <c r="AU7" s="5" t="n">
        <v>0.1314677408557548</v>
      </c>
      <c r="AV7" s="5" t="n">
        <v>0.0382196938133158</v>
      </c>
      <c r="AW7" s="5" t="n">
        <v>-0.02579625467573</v>
      </c>
      <c r="AX7" s="5" t="n">
        <v>-0.019531737551079</v>
      </c>
      <c r="AY7" s="5" t="n">
        <v>0.052155440472289</v>
      </c>
      <c r="AZ7" s="5" t="n">
        <v>-0.2155295059633568</v>
      </c>
      <c r="BA7" s="5" t="n">
        <v>-0.0967323141678802</v>
      </c>
      <c r="BB7" s="5" t="n">
        <v>-0.2226292745841313</v>
      </c>
      <c r="BC7" s="5" t="n">
        <v>0.087060601240463</v>
      </c>
    </row>
    <row r="8" ht="56" customHeight="1">
      <c r="A8" s="3" t="inlineStr">
        <is>
          <t>F05</t>
        </is>
      </c>
      <c r="B8" s="3" t="n">
        <v>5</v>
      </c>
      <c r="C8" s="4" t="inlineStr"/>
      <c r="E8" s="5" t="n">
        <v>0.2162465847604011</v>
      </c>
      <c r="F8" s="5" t="n">
        <v>0.2637865961503331</v>
      </c>
      <c r="G8" s="5" t="n">
        <v>0.2263278494400486</v>
      </c>
      <c r="H8" s="5" t="n">
        <v>0.1285172923069411</v>
      </c>
      <c r="I8" s="5" t="n">
        <v>0.0395418522241637</v>
      </c>
      <c r="J8" s="5" t="n">
        <v>-0.2065055423638734</v>
      </c>
      <c r="K8" s="5" t="n">
        <v>0.3730564956336436</v>
      </c>
      <c r="L8" s="5" t="n">
        <v>0.1313442215374845</v>
      </c>
      <c r="M8" s="5" t="n">
        <v>-0.1205530997269106</v>
      </c>
      <c r="N8" s="5" t="n">
        <v>-0.2526069106956216</v>
      </c>
      <c r="O8" s="5" t="n">
        <v>-0.1827843327504779</v>
      </c>
      <c r="P8" s="5" t="n">
        <v>-0.07191645824083299</v>
      </c>
      <c r="Q8" s="5" t="n">
        <v>-0.1148312955995388</v>
      </c>
      <c r="R8" s="5" t="n">
        <v>-0.1276496599514951</v>
      </c>
      <c r="S8" s="5" t="n">
        <v>-0.2311986536505387</v>
      </c>
      <c r="T8" s="5" t="n">
        <v>0.06304852864785621</v>
      </c>
      <c r="U8" s="5" t="n">
        <v>-0.0888112111295959</v>
      </c>
      <c r="V8" s="5" t="n">
        <v>-0.2216686058655469</v>
      </c>
      <c r="W8" s="5" t="n">
        <v>0.1657085413177187</v>
      </c>
      <c r="X8" s="5" t="n">
        <v>0.0544319795115241</v>
      </c>
      <c r="Y8" s="5" t="n">
        <v>-0.1568334753640664</v>
      </c>
      <c r="Z8" s="5" t="n">
        <v>-0.1510058386105332</v>
      </c>
      <c r="AA8" s="5" t="n">
        <v>-0.2183271683570742</v>
      </c>
      <c r="AB8" s="5" t="n">
        <v>0.2544663939835812</v>
      </c>
      <c r="AC8" s="5" t="n">
        <v>0.0958161624201995</v>
      </c>
      <c r="AD8" s="5" t="n">
        <v>-0.2153507574277781</v>
      </c>
      <c r="AE8" s="5" t="n">
        <v>-0.0144073319884173</v>
      </c>
      <c r="AF8" s="5" t="n">
        <v>-0.1104529452436847</v>
      </c>
      <c r="AG8" s="5" t="n">
        <v>-0.2045890379368569</v>
      </c>
      <c r="AH8" s="5" t="n">
        <v>-0.099202922216659</v>
      </c>
      <c r="AI8" s="5" t="n">
        <v>0.1978947838823511</v>
      </c>
      <c r="AJ8" s="5" t="n">
        <v>-0.148633797176294</v>
      </c>
      <c r="AK8" s="5" t="n">
        <v>-0.0827203194269322</v>
      </c>
      <c r="AL8" s="5" t="n">
        <v>-0.0804554271254702</v>
      </c>
      <c r="AM8" s="5" t="n">
        <v>-0.1896795091609288</v>
      </c>
      <c r="AN8" s="5" t="n">
        <v>-0.203149400474751</v>
      </c>
      <c r="AO8" s="5" t="n">
        <v>-0.2787892120197343</v>
      </c>
      <c r="AP8" s="5" t="n">
        <v>0.3837715193254265</v>
      </c>
      <c r="AQ8" s="5" t="n">
        <v>0.2944906933994237</v>
      </c>
      <c r="AR8" s="5" t="n">
        <v>-0.3187096334035206</v>
      </c>
      <c r="AS8" s="5" t="n">
        <v>-0.1403529548860941</v>
      </c>
      <c r="AT8" s="5" t="n">
        <v>-0.2172809774224204</v>
      </c>
      <c r="AU8" s="5" t="n">
        <v>0.1223040793946604</v>
      </c>
      <c r="AV8" s="5" t="n">
        <v>0.0289897112892484</v>
      </c>
      <c r="AW8" s="5" t="n">
        <v>-0.0300579856393565</v>
      </c>
      <c r="AX8" s="5" t="n">
        <v>-0.03863290030295</v>
      </c>
      <c r="AY8" s="5" t="n">
        <v>0.0798845788241927</v>
      </c>
      <c r="AZ8" s="5" t="n">
        <v>-0.1937197995227804</v>
      </c>
      <c r="BA8" s="5" t="n">
        <v>-0.0881789765412952</v>
      </c>
      <c r="BB8" s="5" t="n">
        <v>-0.2084851698738773</v>
      </c>
      <c r="BC8" s="5" t="n">
        <v>0.1052875034286218</v>
      </c>
    </row>
    <row r="9" ht="56" customHeight="1">
      <c r="A9" s="3" t="inlineStr">
        <is>
          <t>F06</t>
        </is>
      </c>
      <c r="B9" s="3" t="n">
        <v>6</v>
      </c>
      <c r="C9" s="4" t="inlineStr"/>
      <c r="E9" s="5" t="n">
        <v>0.2167824166344519</v>
      </c>
      <c r="F9" s="5" t="n">
        <v>0.2688371527188232</v>
      </c>
      <c r="G9" s="5" t="n">
        <v>0.22646990016756</v>
      </c>
      <c r="H9" s="5" t="n">
        <v>0.1237655506705762</v>
      </c>
      <c r="I9" s="5" t="n">
        <v>0.0374708585281</v>
      </c>
      <c r="J9" s="5" t="n">
        <v>-0.207025936119491</v>
      </c>
      <c r="K9" s="5" t="n">
        <v>0.3755328012576118</v>
      </c>
      <c r="L9" s="5" t="n">
        <v>0.1342865175967109</v>
      </c>
      <c r="M9" s="5" t="n">
        <v>-0.117134960352545</v>
      </c>
      <c r="N9" s="5" t="n">
        <v>-0.2575484256034482</v>
      </c>
      <c r="O9" s="5" t="n">
        <v>-0.188458296619814</v>
      </c>
      <c r="P9" s="5" t="n">
        <v>-0.07351385502377331</v>
      </c>
      <c r="Q9" s="5" t="n">
        <v>-0.1276577243806233</v>
      </c>
      <c r="R9" s="5" t="n">
        <v>-0.1325500195807932</v>
      </c>
      <c r="S9" s="5" t="n">
        <v>-0.2335572852235131</v>
      </c>
      <c r="T9" s="5" t="n">
        <v>0.06786005755341031</v>
      </c>
      <c r="U9" s="5" t="n">
        <v>-0.0871670489067238</v>
      </c>
      <c r="V9" s="5" t="n">
        <v>-0.2180249693154199</v>
      </c>
      <c r="W9" s="5" t="n">
        <v>0.1708333342840071</v>
      </c>
      <c r="X9" s="5" t="n">
        <v>0.0574880228014939</v>
      </c>
      <c r="Y9" s="5" t="n">
        <v>-0.1558373968246321</v>
      </c>
      <c r="Z9" s="5" t="n">
        <v>-0.1515264042639446</v>
      </c>
      <c r="AA9" s="5" t="n">
        <v>-0.2255436613466956</v>
      </c>
      <c r="AB9" s="5" t="n">
        <v>0.2521771174116853</v>
      </c>
      <c r="AC9" s="5" t="n">
        <v>0.0968505465951726</v>
      </c>
      <c r="AD9" s="5" t="n">
        <v>-0.2119899317242638</v>
      </c>
      <c r="AE9" s="5" t="n">
        <v>-0.0088928466283732</v>
      </c>
      <c r="AF9" s="5" t="n">
        <v>-0.1083079752996593</v>
      </c>
      <c r="AG9" s="5" t="n">
        <v>-0.202470682880764</v>
      </c>
      <c r="AH9" s="5" t="n">
        <v>-0.0926572699651976</v>
      </c>
      <c r="AI9" s="5" t="n">
        <v>0.1918840494696982</v>
      </c>
      <c r="AJ9" s="5" t="n">
        <v>-0.144177223432207</v>
      </c>
      <c r="AK9" s="5" t="n">
        <v>-0.0791163499713549</v>
      </c>
      <c r="AL9" s="5" t="n">
        <v>-0.07876598860976899</v>
      </c>
      <c r="AM9" s="5" t="n">
        <v>-0.2040485678215277</v>
      </c>
      <c r="AN9" s="5" t="n">
        <v>-0.2188088368462617</v>
      </c>
      <c r="AO9" s="5" t="n">
        <v>-0.2985556820819853</v>
      </c>
      <c r="AP9" s="5" t="n">
        <v>0.3829717073635365</v>
      </c>
      <c r="AQ9" s="5" t="n">
        <v>0.2990924716715642</v>
      </c>
      <c r="AR9" s="5" t="n">
        <v>-0.3287265625786354</v>
      </c>
      <c r="AS9" s="5" t="n">
        <v>-0.1488693376056736</v>
      </c>
      <c r="AT9" s="5" t="n">
        <v>-0.2330021753002027</v>
      </c>
      <c r="AU9" s="5" t="n">
        <v>0.1067113927368209</v>
      </c>
      <c r="AV9" s="5" t="n">
        <v>0.0207359112161281</v>
      </c>
      <c r="AW9" s="5" t="n">
        <v>-0.043461495051989</v>
      </c>
      <c r="AX9" s="5" t="n">
        <v>-0.0588702040992156</v>
      </c>
      <c r="AY9" s="5" t="n">
        <v>0.083984691348489</v>
      </c>
      <c r="AZ9" s="5" t="n">
        <v>-0.1992840106930505</v>
      </c>
      <c r="BA9" s="5" t="n">
        <v>-0.089432805056801</v>
      </c>
      <c r="BB9" s="5" t="n">
        <v>-0.2124820270575383</v>
      </c>
      <c r="BC9" s="5" t="n">
        <v>0.1097437930188361</v>
      </c>
    </row>
    <row r="10" ht="56" customHeight="1">
      <c r="A10" s="3" t="inlineStr">
        <is>
          <t>F07</t>
        </is>
      </c>
      <c r="B10" s="3" t="n">
        <v>7</v>
      </c>
      <c r="C10" s="4" t="inlineStr"/>
      <c r="E10" s="5" t="n">
        <v>0.2154716173680515</v>
      </c>
      <c r="F10" s="5" t="n">
        <v>0.2719844893760289</v>
      </c>
      <c r="G10" s="5" t="n">
        <v>0.2194010705857695</v>
      </c>
      <c r="H10" s="5" t="n">
        <v>0.1283102288501905</v>
      </c>
      <c r="I10" s="5" t="n">
        <v>0.039335414886976</v>
      </c>
      <c r="J10" s="5" t="n">
        <v>-0.201578262181667</v>
      </c>
      <c r="K10" s="5" t="n">
        <v>0.3885671197438521</v>
      </c>
      <c r="L10" s="5" t="n">
        <v>0.1239416528532012</v>
      </c>
      <c r="M10" s="5" t="n">
        <v>-0.1257727683875387</v>
      </c>
      <c r="N10" s="5" t="n">
        <v>-0.2532854767903781</v>
      </c>
      <c r="O10" s="5" t="n">
        <v>-0.1811865353484359</v>
      </c>
      <c r="P10" s="5" t="n">
        <v>-0.0664429232299449</v>
      </c>
      <c r="Q10" s="5" t="n">
        <v>-0.1156499289701579</v>
      </c>
      <c r="R10" s="5" t="n">
        <v>-0.1254722484755184</v>
      </c>
      <c r="S10" s="5" t="n">
        <v>-0.2315419074432267</v>
      </c>
      <c r="T10" s="5" t="n">
        <v>0.0651362987763717</v>
      </c>
      <c r="U10" s="5" t="n">
        <v>-0.0907878184927519</v>
      </c>
      <c r="V10" s="5" t="n">
        <v>-0.2275065415639789</v>
      </c>
      <c r="W10" s="5" t="n">
        <v>0.161937157867994</v>
      </c>
      <c r="X10" s="5" t="n">
        <v>0.0569550274763108</v>
      </c>
      <c r="Y10" s="5" t="n">
        <v>-0.1470443167793433</v>
      </c>
      <c r="Z10" s="5" t="n">
        <v>-0.1445458172619463</v>
      </c>
      <c r="AA10" s="5" t="n">
        <v>-0.224803231365632</v>
      </c>
      <c r="AB10" s="5" t="n">
        <v>0.2649414205800946</v>
      </c>
      <c r="AC10" s="5" t="n">
        <v>0.095058690510338</v>
      </c>
      <c r="AD10" s="5" t="n">
        <v>-0.23043036652953</v>
      </c>
      <c r="AE10" s="5" t="n">
        <v>-0.0176440462898166</v>
      </c>
      <c r="AF10" s="5" t="n">
        <v>-0.1250080387446392</v>
      </c>
      <c r="AG10" s="5" t="n">
        <v>-0.2124335328752656</v>
      </c>
      <c r="AH10" s="5" t="n">
        <v>-0.1137893414726198</v>
      </c>
      <c r="AI10" s="5" t="n">
        <v>0.2066638390298733</v>
      </c>
      <c r="AJ10" s="5" t="n">
        <v>-0.1419969002921793</v>
      </c>
      <c r="AK10" s="5" t="n">
        <v>-0.09542033604801491</v>
      </c>
      <c r="AL10" s="5" t="n">
        <v>-0.0839889611299027</v>
      </c>
      <c r="AM10" s="5" t="n">
        <v>-0.1728443124361506</v>
      </c>
      <c r="AN10" s="5" t="n">
        <v>-0.1855319870187234</v>
      </c>
      <c r="AO10" s="5" t="n">
        <v>-0.2551793869967637</v>
      </c>
      <c r="AP10" s="5" t="n">
        <v>0.4041311805715324</v>
      </c>
      <c r="AQ10" s="5" t="n">
        <v>0.3123095759365002</v>
      </c>
      <c r="AR10" s="5" t="n">
        <v>-0.3046763419378483</v>
      </c>
      <c r="AS10" s="5" t="n">
        <v>-0.1352725703092205</v>
      </c>
      <c r="AT10" s="5" t="n">
        <v>-0.1946256038584352</v>
      </c>
      <c r="AU10" s="5" t="n">
        <v>0.1328920294942659</v>
      </c>
      <c r="AV10" s="5" t="n">
        <v>0.0443938017517657</v>
      </c>
      <c r="AW10" s="5" t="n">
        <v>-0.0236905943413329</v>
      </c>
      <c r="AX10" s="5" t="n">
        <v>-0.0214788442577476</v>
      </c>
      <c r="AY10" s="5" t="n">
        <v>0.0620641373290262</v>
      </c>
      <c r="AZ10" s="5" t="n">
        <v>-0.2138580897272307</v>
      </c>
      <c r="BA10" s="5" t="n">
        <v>-0.09531315459599871</v>
      </c>
      <c r="BB10" s="5" t="n">
        <v>-0.2203536606589664</v>
      </c>
      <c r="BC10" s="5" t="n">
        <v>0.1015461278652719</v>
      </c>
    </row>
    <row r="11" ht="56" customHeight="1">
      <c r="A11" s="3" t="inlineStr">
        <is>
          <t>F08</t>
        </is>
      </c>
      <c r="B11" s="3" t="n">
        <v>8</v>
      </c>
      <c r="C11" s="4" t="inlineStr"/>
      <c r="E11" s="5" t="n">
        <v>0.2086090383355849</v>
      </c>
      <c r="F11" s="5" t="n">
        <v>0.2679716100284984</v>
      </c>
      <c r="G11" s="5" t="n">
        <v>0.2135725288572463</v>
      </c>
      <c r="H11" s="5" t="n">
        <v>0.1279723940491671</v>
      </c>
      <c r="I11" s="5" t="n">
        <v>0.035999010342976</v>
      </c>
      <c r="J11" s="5" t="n">
        <v>-0.2110084060975265</v>
      </c>
      <c r="K11" s="5" t="n">
        <v>0.3821678988120418</v>
      </c>
      <c r="L11" s="5" t="n">
        <v>0.1175262319322199</v>
      </c>
      <c r="M11" s="5" t="n">
        <v>-0.1390023316071844</v>
      </c>
      <c r="N11" s="5" t="n">
        <v>-0.2561643993704513</v>
      </c>
      <c r="O11" s="5" t="n">
        <v>-0.1814793921001229</v>
      </c>
      <c r="P11" s="5" t="n">
        <v>-0.0669729031784367</v>
      </c>
      <c r="Q11" s="5" t="n">
        <v>-0.1146370803062087</v>
      </c>
      <c r="R11" s="5" t="n">
        <v>-0.1260196311664624</v>
      </c>
      <c r="S11" s="5" t="n">
        <v>-0.2306094183399518</v>
      </c>
      <c r="T11" s="5" t="n">
        <v>0.0523998070401504</v>
      </c>
      <c r="U11" s="5" t="n">
        <v>-0.1012675211538633</v>
      </c>
      <c r="V11" s="5" t="n">
        <v>-0.2435174022112102</v>
      </c>
      <c r="W11" s="5" t="n">
        <v>0.1518346271855898</v>
      </c>
      <c r="X11" s="5" t="n">
        <v>0.0575322615256279</v>
      </c>
      <c r="Y11" s="5" t="n">
        <v>-0.1459779526752401</v>
      </c>
      <c r="Z11" s="5" t="n">
        <v>-0.1357181062679439</v>
      </c>
      <c r="AA11" s="5" t="n">
        <v>-0.2231436761139254</v>
      </c>
      <c r="AB11" s="5" t="n">
        <v>0.2802893626395261</v>
      </c>
      <c r="AC11" s="5" t="n">
        <v>0.09546429507749141</v>
      </c>
      <c r="AD11" s="5" t="n">
        <v>-0.2489207169569111</v>
      </c>
      <c r="AE11" s="5" t="n">
        <v>-0.0354016623502378</v>
      </c>
      <c r="AF11" s="5" t="n">
        <v>-0.1401559214778381</v>
      </c>
      <c r="AG11" s="5" t="n">
        <v>-0.226254482173471</v>
      </c>
      <c r="AH11" s="5" t="n">
        <v>-0.1328687003221381</v>
      </c>
      <c r="AI11" s="5" t="n">
        <v>0.2049614987401206</v>
      </c>
      <c r="AJ11" s="5" t="n">
        <v>-0.1514309288418716</v>
      </c>
      <c r="AK11" s="5" t="n">
        <v>-0.1155133891551479</v>
      </c>
      <c r="AL11" s="5" t="n">
        <v>-0.09338266359242479</v>
      </c>
      <c r="AM11" s="5" t="n">
        <v>-0.1448899197725968</v>
      </c>
      <c r="AN11" s="5" t="n">
        <v>-0.1577125286310308</v>
      </c>
      <c r="AO11" s="5" t="n">
        <v>-0.2188753979264769</v>
      </c>
      <c r="AP11" s="5" t="n">
        <v>0.4233709916197103</v>
      </c>
      <c r="AQ11" s="5" t="n">
        <v>0.3123828104971538</v>
      </c>
      <c r="AR11" s="5" t="n">
        <v>-0.2928563989445623</v>
      </c>
      <c r="AS11" s="5" t="n">
        <v>-0.1238483097576021</v>
      </c>
      <c r="AT11" s="5" t="n">
        <v>-0.1616318898220079</v>
      </c>
      <c r="AU11" s="5" t="n">
        <v>0.1695190309823609</v>
      </c>
      <c r="AV11" s="5" t="n">
        <v>0.0731857663507841</v>
      </c>
      <c r="AW11" s="5" t="n">
        <v>0.0030517495684905</v>
      </c>
      <c r="AX11" s="5" t="n">
        <v>0.0205115681560831</v>
      </c>
      <c r="AY11" s="5" t="n">
        <v>0.0590873967130328</v>
      </c>
      <c r="AZ11" s="5" t="n">
        <v>-0.2103354401305521</v>
      </c>
      <c r="BA11" s="5" t="n">
        <v>-0.0949768264625611</v>
      </c>
      <c r="BB11" s="5" t="n">
        <v>-0.2176624537350962</v>
      </c>
      <c r="BC11" s="5" t="n">
        <v>0.1025069898399666</v>
      </c>
    </row>
    <row r="12" ht="56" customHeight="1">
      <c r="A12" s="3" t="inlineStr">
        <is>
          <t>F09</t>
        </is>
      </c>
      <c r="B12" s="3" t="n">
        <v>9</v>
      </c>
      <c r="C12" s="4" t="inlineStr"/>
      <c r="E12" s="5" t="n">
        <v>0.2331552239651831</v>
      </c>
      <c r="F12" s="5" t="n">
        <v>0.2831696489124552</v>
      </c>
      <c r="G12" s="5" t="n">
        <v>0.2420887715862482</v>
      </c>
      <c r="H12" s="5" t="n">
        <v>0.1378718162360482</v>
      </c>
      <c r="I12" s="5" t="n">
        <v>0.0481673570406573</v>
      </c>
      <c r="J12" s="5" t="n">
        <v>-0.2310011275072502</v>
      </c>
      <c r="K12" s="5" t="n">
        <v>0.3675604400040321</v>
      </c>
      <c r="L12" s="5" t="n">
        <v>0.1257855861056355</v>
      </c>
      <c r="M12" s="5" t="n">
        <v>-0.1622110532705897</v>
      </c>
      <c r="N12" s="5" t="n">
        <v>-0.2840591873334786</v>
      </c>
      <c r="O12" s="5" t="n">
        <v>-0.2294554168943346</v>
      </c>
      <c r="P12" s="5" t="n">
        <v>-0.09893511314536001</v>
      </c>
      <c r="Q12" s="5" t="n">
        <v>-0.1448607299758527</v>
      </c>
      <c r="R12" s="5" t="n">
        <v>-0.17224424247365</v>
      </c>
      <c r="S12" s="5" t="n">
        <v>-0.2412031301414867</v>
      </c>
      <c r="T12" s="5" t="n">
        <v>0.022665351601044</v>
      </c>
      <c r="U12" s="5" t="n">
        <v>-0.1421222769497938</v>
      </c>
      <c r="V12" s="5" t="n">
        <v>-0.2767725761286979</v>
      </c>
      <c r="W12" s="5" t="n">
        <v>0.1148209616406443</v>
      </c>
      <c r="X12" s="5" t="n">
        <v>0.023433986121702</v>
      </c>
      <c r="Y12" s="5" t="n">
        <v>-0.182618671098991</v>
      </c>
      <c r="Z12" s="5" t="n">
        <v>-0.1653533467628325</v>
      </c>
      <c r="AA12" s="5" t="n">
        <v>-0.258013786138855</v>
      </c>
      <c r="AB12" s="5" t="n">
        <v>0.250545846468094</v>
      </c>
      <c r="AC12" s="5" t="n">
        <v>0.07781083155961641</v>
      </c>
      <c r="AD12" s="5" t="n">
        <v>-0.2777219723403769</v>
      </c>
      <c r="AE12" s="5" t="n">
        <v>-0.0621001260007505</v>
      </c>
      <c r="AF12" s="5" t="n">
        <v>-0.1617510975491041</v>
      </c>
      <c r="AG12" s="5" t="n">
        <v>-0.250892032173301</v>
      </c>
      <c r="AH12" s="5" t="n">
        <v>-0.1515459697836317</v>
      </c>
      <c r="AI12" s="5" t="n">
        <v>0.1861467070196623</v>
      </c>
      <c r="AJ12" s="5" t="n">
        <v>-0.1720359057778945</v>
      </c>
      <c r="AK12" s="5" t="n">
        <v>-0.1356471934019037</v>
      </c>
      <c r="AL12" s="5" t="n">
        <v>-0.1236329828420179</v>
      </c>
      <c r="AM12" s="5" t="n">
        <v>-0.1721327128180705</v>
      </c>
      <c r="AN12" s="5" t="n">
        <v>-0.1764612984524713</v>
      </c>
      <c r="AO12" s="5" t="n">
        <v>-0.2465942619233692</v>
      </c>
      <c r="AP12" s="5" t="n">
        <v>0.3802073197657668</v>
      </c>
      <c r="AQ12" s="5" t="n">
        <v>0.3095653304804054</v>
      </c>
      <c r="AR12" s="5" t="n">
        <v>-0.3120785199515927</v>
      </c>
      <c r="AS12" s="5" t="n">
        <v>-0.129640131413818</v>
      </c>
      <c r="AT12" s="5" t="n">
        <v>-0.2014530139510929</v>
      </c>
      <c r="AU12" s="5" t="n">
        <v>0.1710462022398314</v>
      </c>
      <c r="AV12" s="5" t="n">
        <v>0.0538915310043367</v>
      </c>
      <c r="AW12" s="5" t="n">
        <v>0.0103039875218625</v>
      </c>
      <c r="AX12" s="5" t="n">
        <v>0.0072978837566107</v>
      </c>
      <c r="AY12" s="5" t="n">
        <v>0.1018927085562856</v>
      </c>
      <c r="AZ12" s="5" t="n">
        <v>-0.1794039048743926</v>
      </c>
      <c r="BA12" s="5" t="n">
        <v>-0.0898672198527169</v>
      </c>
      <c r="BB12" s="5" t="n">
        <v>-0.1875034991872153</v>
      </c>
      <c r="BC12" s="5" t="n">
        <v>0.1313679710963162</v>
      </c>
    </row>
    <row r="13" ht="56" customHeight="1">
      <c r="A13" s="3" t="inlineStr">
        <is>
          <t>F10</t>
        </is>
      </c>
      <c r="B13" s="3" t="n">
        <v>10</v>
      </c>
      <c r="C13" s="4" t="inlineStr"/>
      <c r="E13" s="5" t="n">
        <v>0.2072952513553208</v>
      </c>
      <c r="F13" s="5" t="n">
        <v>0.2534939380813444</v>
      </c>
      <c r="G13" s="5" t="n">
        <v>0.211202938980037</v>
      </c>
      <c r="H13" s="5" t="n">
        <v>0.1411168514087765</v>
      </c>
      <c r="I13" s="5" t="n">
        <v>0.0465402284637389</v>
      </c>
      <c r="J13" s="5" t="n">
        <v>-0.2380548293298065</v>
      </c>
      <c r="K13" s="5" t="n">
        <v>0.3461013435879471</v>
      </c>
      <c r="L13" s="5" t="n">
        <v>0.0966122849262914</v>
      </c>
      <c r="M13" s="5" t="n">
        <v>-0.1696524712678215</v>
      </c>
      <c r="N13" s="5" t="n">
        <v>-0.2503377776754373</v>
      </c>
      <c r="O13" s="5" t="n">
        <v>-0.1960248303203829</v>
      </c>
      <c r="P13" s="5" t="n">
        <v>-0.0877234572715815</v>
      </c>
      <c r="Q13" s="5" t="n">
        <v>-0.1172572504874755</v>
      </c>
      <c r="R13" s="5" t="n">
        <v>-0.1465289411704969</v>
      </c>
      <c r="S13" s="5" t="n">
        <v>-0.2195370755374238</v>
      </c>
      <c r="T13" s="5" t="n">
        <v>0.0118675811153176</v>
      </c>
      <c r="U13" s="5" t="n">
        <v>-0.1360517143069767</v>
      </c>
      <c r="V13" s="5" t="n">
        <v>-0.289402275540226</v>
      </c>
      <c r="W13" s="5" t="n">
        <v>0.0801677188544325</v>
      </c>
      <c r="X13" s="5" t="n">
        <v>0.023633082262537</v>
      </c>
      <c r="Y13" s="5" t="n">
        <v>-0.18308503306902</v>
      </c>
      <c r="Z13" s="5" t="n">
        <v>-0.1378986617173081</v>
      </c>
      <c r="AA13" s="5" t="n">
        <v>-0.2402014772662259</v>
      </c>
      <c r="AB13" s="5" t="n">
        <v>0.2603106825724927</v>
      </c>
      <c r="AC13" s="5" t="n">
        <v>0.0728839368376538</v>
      </c>
      <c r="AD13" s="5" t="n">
        <v>-0.3092812216753289</v>
      </c>
      <c r="AE13" s="5" t="n">
        <v>-0.0997021479511512</v>
      </c>
      <c r="AF13" s="5" t="n">
        <v>-0.1858589559398824</v>
      </c>
      <c r="AG13" s="5" t="n">
        <v>-0.2754111347252324</v>
      </c>
      <c r="AH13" s="5" t="n">
        <v>-0.1885457711110138</v>
      </c>
      <c r="AI13" s="5" t="n">
        <v>0.1819079556613176</v>
      </c>
      <c r="AJ13" s="5" t="n">
        <v>-0.1835867580026138</v>
      </c>
      <c r="AK13" s="5" t="n">
        <v>-0.1717720542429859</v>
      </c>
      <c r="AL13" s="5" t="n">
        <v>-0.1389765541061676</v>
      </c>
      <c r="AM13" s="5" t="n">
        <v>-0.0828603152323631</v>
      </c>
      <c r="AN13" s="5" t="n">
        <v>-0.0848655645203566</v>
      </c>
      <c r="AO13" s="5" t="n">
        <v>-0.1271536594684907</v>
      </c>
      <c r="AP13" s="5" t="n">
        <v>0.4040621921846389</v>
      </c>
      <c r="AQ13" s="5" t="n">
        <v>0.3161413910365444</v>
      </c>
      <c r="AR13" s="5" t="n">
        <v>-0.2575877974247804</v>
      </c>
      <c r="AS13" s="5" t="n">
        <v>-0.0661166762610048</v>
      </c>
      <c r="AT13" s="5" t="n">
        <v>-0.0961587340468182</v>
      </c>
      <c r="AU13" s="5" t="n">
        <v>0.2413005767159198</v>
      </c>
      <c r="AV13" s="5" t="n">
        <v>0.1065023567789089</v>
      </c>
      <c r="AW13" s="5" t="n">
        <v>0.0608474551139366</v>
      </c>
      <c r="AX13" s="5" t="n">
        <v>0.1024617572397472</v>
      </c>
      <c r="AY13" s="5" t="n">
        <v>0.055974122251456</v>
      </c>
      <c r="AZ13" s="5" t="n">
        <v>-0.1939426012770629</v>
      </c>
      <c r="BA13" s="5" t="n">
        <v>-0.0994784477905746</v>
      </c>
      <c r="BB13" s="5" t="n">
        <v>-0.1921141047221943</v>
      </c>
      <c r="BC13" s="5" t="n">
        <v>0.1052015692685629</v>
      </c>
    </row>
    <row r="14" ht="56" customHeight="1">
      <c r="A14" s="3" t="n"/>
      <c r="B14" s="3" t="n"/>
      <c r="C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</row>
    <row r="15" ht="56" customHeight="1">
      <c r="A15" s="3" t="n"/>
      <c r="B15" s="3" t="n"/>
      <c r="C15" s="4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</row>
    <row r="16" ht="56" customHeight="1">
      <c r="A16" s="3" t="n"/>
      <c r="B16" s="3" t="n"/>
      <c r="C16" s="4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</row>
    <row r="17" ht="56" customHeight="1">
      <c r="A17" s="3" t="n"/>
      <c r="B17" s="3" t="n"/>
      <c r="C17" s="4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</row>
    <row r="18" ht="56" customHeight="1">
      <c r="A18" s="3" t="n"/>
      <c r="B18" s="3" t="n"/>
      <c r="C18" s="4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</row>
    <row r="19" ht="56" customHeight="1">
      <c r="A19" s="3" t="n"/>
      <c r="B19" s="3" t="n"/>
      <c r="C19" s="4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</row>
    <row r="20" ht="56" customHeight="1">
      <c r="A20" s="3" t="n"/>
      <c r="B20" s="3" t="n"/>
      <c r="C20" s="4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</row>
    <row r="21" ht="56" customHeight="1">
      <c r="A21" s="3" t="n"/>
      <c r="B21" s="3" t="n"/>
      <c r="C21" s="4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</row>
    <row r="22" ht="56" customHeight="1">
      <c r="A22" s="3" t="n"/>
      <c r="B22" s="3" t="n"/>
      <c r="C22" s="4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</row>
    <row r="23" ht="56" customHeight="1">
      <c r="A23" s="3" t="n"/>
      <c r="B23" s="3" t="n"/>
      <c r="C23" s="4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0"/>
  <sheetViews>
    <sheetView topLeftCell="B10" workbookViewId="0">
      <selection activeCell="F22" sqref="F22"/>
    </sheetView>
  </sheetViews>
  <sheetFormatPr baseColWidth="8" defaultRowHeight="14.5"/>
  <cols>
    <col width="18.7265625" customWidth="1" min="1" max="11"/>
  </cols>
  <sheetData>
    <row r="2" ht="18.5" customHeight="1">
      <c r="B2" s="6" t="inlineStr">
        <is>
          <t>NCD · Neurosemantic Creative Diagnostics — Структура файла</t>
        </is>
      </c>
    </row>
    <row r="4">
      <c r="B4" t="inlineStr">
        <is>
          <t>ЛИСТ</t>
        </is>
      </c>
      <c r="D4" t="inlineStr">
        <is>
          <t>СОДЕРЖАНИЕ</t>
        </is>
      </c>
      <c r="H4" t="inlineStr">
        <is>
          <t>КОМУ</t>
        </is>
      </c>
    </row>
    <row r="5">
      <c r="B5" t="inlineStr">
        <is>
          <t>1_RAW_CORRELATIONS</t>
        </is>
      </c>
      <c r="D5" t="inlineStr">
        <is>
          <t>Сырые Pearson r по каждому терму Neurosynth для каждого кадра. Сюда аналитик вставляет данные из TRIBE.</t>
        </is>
      </c>
      <c r="H5" t="inlineStr">
        <is>
          <t>Аналитик — заполняет</t>
        </is>
      </c>
    </row>
    <row r="6">
      <c r="B6" t="inlineStr">
        <is>
          <t>2_FRAME_MARKUP</t>
        </is>
      </c>
      <c r="D6" t="inlineStr">
        <is>
          <t>Разметка кадров: какой тег (BRAND/OFFER/CTA/FACE/PRODUCT/HOOK) присвоен каждому кадру. Заполняется вручную перед анализом.</t>
        </is>
      </c>
      <c r="H6" t="inlineStr">
        <is>
          <t>Аналитик — заполняет вручную</t>
        </is>
      </c>
    </row>
    <row r="7">
      <c r="B7" t="inlineStr">
        <is>
          <t>3_INDEX_SCORES</t>
        </is>
      </c>
      <c r="D7" t="inlineStr">
        <is>
          <t>Расчёт индексов по кадрам: взвешенные r, trimmed mean, штрафы. Формулы автоматически тянут данные из листов 1 и 2.</t>
        </is>
      </c>
      <c r="H7" t="inlineStr">
        <is>
          <t>Формулы — не редактировать</t>
        </is>
      </c>
    </row>
    <row r="8">
      <c r="B8" t="inlineStr">
        <is>
          <t>4_WINDOW_AGGREGATES</t>
        </is>
      </c>
      <c r="D8" t="inlineStr">
        <is>
          <t>Агрегаты по временным окнам: Hook, Brand, Offer, CTA, AUC, Peak, Finale. Основа для отчёта.</t>
        </is>
      </c>
      <c r="H8" t="inlineStr">
        <is>
          <t>Формулы — читать и интерпретировать</t>
        </is>
      </c>
    </row>
    <row r="9">
      <c r="B9" t="inlineStr">
        <is>
          <t>5_WEIGHTS_REF</t>
        </is>
      </c>
      <c r="D9" t="inlineStr">
        <is>
          <t>Справочник весов: какой терм входит в какой индекс с каким весом. Аналитик может корректировать веса здесь — формулы в листе 3 тянут отсюда.</t>
        </is>
      </c>
      <c r="H9" t="inlineStr">
        <is>
          <t>Аналитик — может менять веса</t>
        </is>
      </c>
    </row>
    <row r="11">
      <c r="B11" t="inlineStr">
        <is>
          <t>Пайплайн: как данные движутся между листами</t>
        </is>
      </c>
    </row>
    <row r="12">
      <c r="B12" t="inlineStr">
        <is>
          <t>TRIBE + Neurosynth → Pearson r по термам → [1_RAW_CORRELATIONS]  +  разметка кадров → [2_FRAME_MARKUP]  →  расчёт индексов → [3_INDEX_SCORES]  →  агрегаты по окнам → [4_WINDOW_AGGREGATES]  →  отчёт / дашборд</t>
        </is>
      </c>
    </row>
    <row r="16">
      <c r="B16" t="inlineStr">
        <is>
          <t>Ключевые правила заполнения</t>
        </is>
      </c>
    </row>
    <row r="17">
      <c r="B17" t="inlineStr">
        <is>
          <t>1.  Лист 1 (RAW): один кадр = одна строка. Секунда заполняется как число (1, 2, 3...). r-значения — числа от -1 до +1.</t>
        </is>
      </c>
    </row>
    <row r="18">
      <c r="B18" s="13" t="inlineStr">
        <is>
          <t>2.  Лист 2 (MARKUP): теги вводятся через запятую если кадр попадает в несколько окон. Пример: BRAND,FACE. Строго из списка: HOOK / BRAND / PRODUCT / OFFER / CTA / LOGO.</t>
        </is>
      </c>
    </row>
    <row r="19">
      <c r="B19" t="inlineStr">
        <is>
          <t>3.  Лист 3 (INDEX_SCORES): не редактировать вручную. Только формулы. При добавлении новых кадров — протянуть формулы вниз.</t>
        </is>
      </c>
    </row>
    <row r="20">
      <c r="B20" t="inlineStr">
        <is>
          <t>4.  Лист 5 (WEIGHTS): единственное место, где можно менять веса. После изменения пересчитать лист 3.</t>
        </is>
      </c>
    </row>
    <row r="21">
      <c r="B21" t="inlineStr">
        <is>
          <t>5.  Нормировка: z-score считается в листе 4. Phase 1 = z-score внутри ролика. При накоплении базы — переходить к перцентилям.</t>
        </is>
      </c>
    </row>
    <row r="23">
      <c r="B23" t="inlineStr">
        <is>
          <t>⚠ Финальный состав индексов v1.3</t>
        </is>
      </c>
    </row>
    <row r="24">
      <c r="B24" t="inlineStr">
        <is>
          <t>Изменения v1.3 (последняя итерация):
• AFF-A: терм 'emotion' заменён на 'emotional_stimuli' + 'emotional_responses' (вес 0.6 каждый) — более специфичные термы из финальной библиотеки
• AFF-V: 'emotional_valence' НЕ добавлен (избыточен относительно 'valence'). Субиндекс = valence (якорь, вес 1.0) минус штрафы (negative_affect 1.2, disgust 1.5, fear 0.6, anxiety 0.5)
ВАЖНО — интерпретация AFF-V: association map терма 'valence' не кодирует знак направления (позитив/негатив) сам по себе — она показывает только то, что валентность как конструкт обрабатывается. Реальный сигнал о знаке дают штрафные термы. Поэтому AFF-V — это ИНДЕКС НЕГАТИВНОЙ ОКРАСКИ, а не симметричная шкала позитив↔негатив. Высокое значение = низкий уровень негативных паттернов (не значит 'позитивно'). Низкое/отрицательное = присутствуют негативные паттерны.</t>
        </is>
      </c>
    </row>
    <row r="32">
      <c r="B32" t="inlineStr">
        <is>
          <t>Полные названия индексов (v1.3)</t>
        </is>
      </c>
    </row>
    <row r="33">
      <c r="B33" t="inlineStr">
        <is>
          <t>ATT</t>
        </is>
      </c>
      <c r="D33" t="inlineStr">
        <is>
          <t>ATT — Внимание и захват взгляда</t>
        </is>
      </c>
      <c r="G33" t="inlineStr">
        <is>
          <t>Привлекает ли кадр взгляд, активируется ли рефлекторная и управляемая ориентировка</t>
        </is>
      </c>
    </row>
    <row r="34">
      <c r="B34" t="inlineStr">
        <is>
          <t>AFF-A</t>
        </is>
      </c>
      <c r="D34" t="inlineStr">
        <is>
          <t>AFF-A — Эмоциональная интенсивность (Arousal)</t>
        </is>
      </c>
      <c r="G34" t="inlineStr">
        <is>
          <t>Насколько сильно кадр активирует аффективную систему — без учёта знака</t>
        </is>
      </c>
    </row>
    <row r="35">
      <c r="B35" t="inlineStr">
        <is>
          <t>AFF-V</t>
        </is>
      </c>
      <c r="D35" t="inlineStr">
        <is>
          <t>AFF-V — Негативная эмоциональная окраска</t>
        </is>
      </c>
      <c r="G35" t="inlineStr">
        <is>
          <t>Присутствуют ли в кадре паттерны негативного аффекта (страх, отвращение, тревога)</t>
        </is>
      </c>
    </row>
    <row r="36">
      <c r="B36" t="inlineStr">
        <is>
          <t>MEM</t>
        </is>
      </c>
      <c r="D36" t="inlineStr">
        <is>
          <t>MEM — Потенциал запоминания</t>
        </is>
      </c>
      <c r="G36" t="inlineStr">
        <is>
          <t>Насколько кадр похож на паттерны кодирования и последующего воспроизведения в памяти</t>
        </is>
      </c>
    </row>
    <row r="37">
      <c r="B37" t="inlineStr">
        <is>
          <t>REW</t>
        </is>
      </c>
      <c r="D37" t="inlineStr">
        <is>
          <t>REW — Воспринимаемая ценность и мотивация</t>
        </is>
      </c>
      <c r="G37" t="inlineStr">
        <is>
          <t>Выглядит ли продукт/оффер ценным, желанным, мотивирующим к действию</t>
        </is>
      </c>
    </row>
    <row r="38">
      <c r="B38" t="inlineStr">
        <is>
          <t>SOC</t>
        </is>
      </c>
      <c r="D38" t="inlineStr">
        <is>
          <t>SOC — Социальный резонанс</t>
        </is>
      </c>
      <c r="G38" t="inlineStr">
        <is>
          <t>Активируется ли «социальный мозг»: лица, эмпатия, самоидентификация</t>
        </is>
      </c>
    </row>
    <row r="39">
      <c r="B39" t="inlineStr">
        <is>
          <t>COG-CL</t>
        </is>
      </c>
      <c r="D39" t="inlineStr">
        <is>
          <t>COG-CL — Ясность сообщения</t>
        </is>
      </c>
      <c r="G39" t="inlineStr">
        <is>
          <t>Насколько легко обрабатывается смысл вербального/нарративного сообщения (выше = понятнее)</t>
        </is>
      </c>
    </row>
    <row r="40">
      <c r="B40" t="inlineStr">
        <is>
          <t>COG-LD</t>
        </is>
      </c>
      <c r="D40" t="inlineStr">
        <is>
          <t>COG-LD — Когнитивная нагрузка</t>
        </is>
      </c>
      <c r="G40" t="inlineStr">
        <is>
          <t>Требует ли кадр повышенных управляющих усилий мозга (выше = тяжелее воспринимается)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1" sqref="C11"/>
    </sheetView>
  </sheetViews>
  <sheetFormatPr baseColWidth="8" defaultRowHeight="14.5"/>
  <cols>
    <col width="10.7265625" customWidth="1" min="1" max="1"/>
    <col width="8.7265625" customWidth="1" min="2" max="2"/>
    <col width="30.7265625" customWidth="1" min="3" max="3"/>
    <col width="14.7265625" customWidth="1" min="4" max="19"/>
  </cols>
  <sheetData>
    <row r="1" ht="18.5" customHeight="1">
      <c r="A1" s="6" t="inlineStr">
        <is>
          <t>3_INDEX_SCORES — Расчёт индексов по кадрам (формулы — не редактировать)</t>
        </is>
      </c>
    </row>
    <row r="2">
      <c r="A2" s="7" t="inlineStr">
        <is>
          <t>Каждая строка = один кадр. Индексы считаются как AVERAGE взвешенных r по ядровым термам минус штрафы. z-score считается на фактическом количестве кадров.</t>
        </is>
      </c>
    </row>
    <row r="3" ht="29" customHeight="1">
      <c r="A3" s="2" t="inlineStr">
        <is>
          <t>frame_id</t>
        </is>
      </c>
      <c r="B3" s="2" t="inlineStr">
        <is>
          <t>second</t>
        </is>
      </c>
      <c r="C3" s="2" t="inlineStr">
        <is>
          <t>tags</t>
        </is>
      </c>
      <c r="D3" s="2" t="inlineStr">
        <is>
          <t>ATT
Внимание</t>
        </is>
      </c>
      <c r="E3" s="2" t="inlineStr">
        <is>
          <t>AFF-A
Интенсивность</t>
        </is>
      </c>
      <c r="F3" s="2" t="inlineStr">
        <is>
          <t>AFF-V
Негативность</t>
        </is>
      </c>
      <c r="G3" s="2" t="inlineStr">
        <is>
          <t>MEM
Запоминание</t>
        </is>
      </c>
      <c r="H3" s="2" t="inlineStr">
        <is>
          <t>REW
Ценность</t>
        </is>
      </c>
      <c r="I3" s="2" t="inlineStr">
        <is>
          <t>SOC
Социальность</t>
        </is>
      </c>
      <c r="J3" s="2" t="inlineStr">
        <is>
          <t>COG-CL
Ясность</t>
        </is>
      </c>
      <c r="K3" s="2" t="inlineStr">
        <is>
          <t>COG-LD
Нагрузка</t>
        </is>
      </c>
      <c r="L3" s="2" t="inlineStr">
        <is>
          <t>z_ATT</t>
        </is>
      </c>
      <c r="M3" s="2" t="inlineStr">
        <is>
          <t>z_AFF_A</t>
        </is>
      </c>
      <c r="N3" s="2" t="inlineStr">
        <is>
          <t>z_AFF_V</t>
        </is>
      </c>
      <c r="O3" s="2" t="inlineStr">
        <is>
          <t>z_MEM</t>
        </is>
      </c>
      <c r="P3" s="2" t="inlineStr">
        <is>
          <t>z_REW</t>
        </is>
      </c>
      <c r="Q3" s="2" t="inlineStr">
        <is>
          <t>z_SOC</t>
        </is>
      </c>
      <c r="R3" s="2" t="inlineStr">
        <is>
          <t>z_COG_CL</t>
        </is>
      </c>
      <c r="S3" s="2" t="inlineStr">
        <is>
          <t>z_COG_LD</t>
        </is>
      </c>
    </row>
    <row r="4">
      <c r="A4" s="3">
        <f>'1_RAW_CORRELATIONS'!A4</f>
        <v/>
      </c>
      <c r="B4" s="3">
        <f>'1_RAW_CORRELATIONS'!B4</f>
        <v/>
      </c>
      <c r="C4" s="3">
        <f>IF('2_FRAME_MARKUP'!E4=1,"HOOK ","" )&amp;IF('2_FRAME_MARKUP'!F4=1,"BRAND ","" )&amp;IF('2_FRAME_MARKUP'!G4=1,"PRODUCT ","" )&amp;IF('2_FRAME_MARKUP'!H4=1,"OFFER ","" )&amp;IF('2_FRAME_MARKUP'!I4=1,"CTA ","" )&amp;IF('2_FRAME_MARKUP'!J4=1,"LOGO ","" )</f>
        <v/>
      </c>
      <c r="D4" s="5">
        <f>AVERAGE('1_RAW_CORRELATIONS'!E4*1,'1_RAW_CORRELATIONS'!F4*1.2,'1_RAW_CORRELATIONS'!G4*1,'1_RAW_CORRELATIONS'!H4*1.1,'1_RAW_CORRELATIONS'!I4*1,'1_RAW_CORRELATIONS'!J4*1.2,'1_RAW_CORRELATIONS'!K4*0.7)-(MAX(0,'1_RAW_CORRELATIONS'!L4)*1)</f>
        <v/>
      </c>
      <c r="E4" s="5">
        <f>AVERAGE('1_RAW_CORRELATIONS'!M4*1.3,'1_RAW_CORRELATIONS'!N4*1,'1_RAW_CORRELATIONS'!O4*0.5,'1_RAW_CORRELATIONS'!P4*0.6,'1_RAW_CORRELATIONS'!Q4*0.6)-0</f>
        <v/>
      </c>
      <c r="F4" s="5">
        <f>AVERAGE('1_RAW_CORRELATIONS'!R4*1)-(MAX(0,'1_RAW_CORRELATIONS'!S4)*1.2+MAX(0,'1_RAW_CORRELATIONS'!T4)*1.5+MAX(0,'1_RAW_CORRELATIONS'!U4)*0.6+MAX(0,'1_RAW_CORRELATIONS'!V4)*0.5)</f>
        <v/>
      </c>
      <c r="G4" s="5">
        <f>AVERAGE('1_RAW_CORRELATIONS'!W4*1.5,'1_RAW_CORRELATIONS'!X4*1.3,'1_RAW_CORRELATIONS'!Y4*1,'1_RAW_CORRELATIONS'!Z4*1,'1_RAW_CORRELATIONS'!AA4*1.1,'1_RAW_CORRELATIONS'!AB4*1,'1_RAW_CORRELATIONS'!AC4*0.9)-0</f>
        <v/>
      </c>
      <c r="H4" s="5">
        <f>AVERAGE('1_RAW_CORRELATIONS'!AD4*1,'1_RAW_CORRELATIONS'!AE4*1.2,'1_RAW_CORRELATIONS'!AF4*1.1,'1_RAW_CORRELATIONS'!AG4*1.2,'1_RAW_CORRELATIONS'!AH4*1,'1_RAW_CORRELATIONS'!AI4*1,'1_RAW_CORRELATIONS'!AJ4*1.1,'1_RAW_CORRELATIONS'!AK4*1.1,'1_RAW_CORRELATIONS'!AL4*0.9)-0</f>
        <v/>
      </c>
      <c r="I4" s="5">
        <f>AVERAGE('1_RAW_CORRELATIONS'!AM4*1,'1_RAW_CORRELATIONS'!AN4*1.2,'1_RAW_CORRELATIONS'!AO4*1,'1_RAW_CORRELATIONS'!AP4*1.3,'1_RAW_CORRELATIONS'!AQ4*1.2,'1_RAW_CORRELATIONS'!AR4*1.3,'1_RAW_CORRELATIONS'!AS4*1.1,'1_RAW_CORRELATIONS'!AT4*0.7)-0</f>
        <v/>
      </c>
      <c r="J4" s="5">
        <f>AVERAGE('1_RAW_CORRELATIONS'!AU4*1.2,'1_RAW_CORRELATIONS'!AV4*1.2,'1_RAW_CORRELATIONS'!AW4*1.3,'1_RAW_CORRELATIONS'!AX4*1)-0</f>
        <v/>
      </c>
      <c r="K4" s="5">
        <f>AVERAGE('1_RAW_CORRELATIONS'!AY4*1.3,'1_RAW_CORRELATIONS'!AZ4*1.1,'1_RAW_CORRELATIONS'!BA4*1,'1_RAW_CORRELATIONS'!BB4*0.9,'1_RAW_CORRELATIONS'!BC4*1.2)-0</f>
        <v/>
      </c>
      <c r="L4" s="5">
        <f>IFERROR((D4-AVERAGE(D$4:D$23))/STDEV(D$4:D$23),0)</f>
        <v/>
      </c>
      <c r="M4" s="5">
        <f>IFERROR((E4-AVERAGE(E$4:E$23))/STDEV(E$4:E$23),0)</f>
        <v/>
      </c>
      <c r="N4" s="5">
        <f>IFERROR((F4-AVERAGE(F$4:F$23))/STDEV(F$4:F$23),0)</f>
        <v/>
      </c>
      <c r="O4" s="5">
        <f>IFERROR((G4-AVERAGE(G$4:G$23))/STDEV(G$4:G$23),0)</f>
        <v/>
      </c>
      <c r="P4" s="5">
        <f>IFERROR((H4-AVERAGE(H$4:H$23))/STDEV(H$4:H$23),0)</f>
        <v/>
      </c>
      <c r="Q4" s="5">
        <f>IFERROR((I4-AVERAGE(I$4:I$23))/STDEV(I$4:I$23),0)</f>
        <v/>
      </c>
      <c r="R4" s="5">
        <f>IFERROR((J4-AVERAGE(J$4:J$23))/STDEV(J$4:J$23),0)</f>
        <v/>
      </c>
      <c r="S4" s="5">
        <f>IFERROR((K4-AVERAGE(K$4:K$23))/STDEV(K$4:K$23),0)</f>
        <v/>
      </c>
    </row>
    <row r="5">
      <c r="A5" s="3">
        <f>'1_RAW_CORRELATIONS'!A5</f>
        <v/>
      </c>
      <c r="B5" s="3">
        <f>'1_RAW_CORRELATIONS'!B5</f>
        <v/>
      </c>
      <c r="C5" s="3">
        <f>IF('2_FRAME_MARKUP'!E5=1,"HOOK ","" )&amp;IF('2_FRAME_MARKUP'!F5=1,"BRAND ","" )&amp;IF('2_FRAME_MARKUP'!G5=1,"PRODUCT ","" )&amp;IF('2_FRAME_MARKUP'!H5=1,"OFFER ","" )&amp;IF('2_FRAME_MARKUP'!I5=1,"CTA ","" )&amp;IF('2_FRAME_MARKUP'!J5=1,"LOGO ","" )</f>
        <v/>
      </c>
      <c r="D5" s="5">
        <f>AVERAGE('1_RAW_CORRELATIONS'!E5*1,'1_RAW_CORRELATIONS'!F5*1.2,'1_RAW_CORRELATIONS'!G5*1,'1_RAW_CORRELATIONS'!H5*1.1,'1_RAW_CORRELATIONS'!I5*1,'1_RAW_CORRELATIONS'!J5*1.2,'1_RAW_CORRELATIONS'!K5*0.7)-(MAX(0,'1_RAW_CORRELATIONS'!L5)*1)</f>
        <v/>
      </c>
      <c r="E5" s="5">
        <f>AVERAGE('1_RAW_CORRELATIONS'!M5*1.3,'1_RAW_CORRELATIONS'!N5*1,'1_RAW_CORRELATIONS'!O5*0.5,'1_RAW_CORRELATIONS'!P5*0.6,'1_RAW_CORRELATIONS'!Q5*0.6)-0</f>
        <v/>
      </c>
      <c r="F5" s="5">
        <f>AVERAGE('1_RAW_CORRELATIONS'!R5*1)-(MAX(0,'1_RAW_CORRELATIONS'!S5)*1.2+MAX(0,'1_RAW_CORRELATIONS'!T5)*1.5+MAX(0,'1_RAW_CORRELATIONS'!U5)*0.6+MAX(0,'1_RAW_CORRELATIONS'!V5)*0.5)</f>
        <v/>
      </c>
      <c r="G5" s="5">
        <f>AVERAGE('1_RAW_CORRELATIONS'!W5*1.5,'1_RAW_CORRELATIONS'!X5*1.3,'1_RAW_CORRELATIONS'!Y5*1,'1_RAW_CORRELATIONS'!Z5*1,'1_RAW_CORRELATIONS'!AA5*1.1,'1_RAW_CORRELATIONS'!AB5*1,'1_RAW_CORRELATIONS'!AC5*0.9)-0</f>
        <v/>
      </c>
      <c r="H5" s="5">
        <f>AVERAGE('1_RAW_CORRELATIONS'!AD5*1,'1_RAW_CORRELATIONS'!AE5*1.2,'1_RAW_CORRELATIONS'!AF5*1.1,'1_RAW_CORRELATIONS'!AG5*1.2,'1_RAW_CORRELATIONS'!AH5*1,'1_RAW_CORRELATIONS'!AI5*1,'1_RAW_CORRELATIONS'!AJ5*1.1,'1_RAW_CORRELATIONS'!AK5*1.1,'1_RAW_CORRELATIONS'!AL5*0.9)-0</f>
        <v/>
      </c>
      <c r="I5" s="5">
        <f>AVERAGE('1_RAW_CORRELATIONS'!AM5*1,'1_RAW_CORRELATIONS'!AN5*1.2,'1_RAW_CORRELATIONS'!AO5*1,'1_RAW_CORRELATIONS'!AP5*1.3,'1_RAW_CORRELATIONS'!AQ5*1.2,'1_RAW_CORRELATIONS'!AR5*1.3,'1_RAW_CORRELATIONS'!AS5*1.1,'1_RAW_CORRELATIONS'!AT5*0.7)-0</f>
        <v/>
      </c>
      <c r="J5" s="5">
        <f>AVERAGE('1_RAW_CORRELATIONS'!AU5*1.2,'1_RAW_CORRELATIONS'!AV5*1.2,'1_RAW_CORRELATIONS'!AW5*1.3,'1_RAW_CORRELATIONS'!AX5*1)-0</f>
        <v/>
      </c>
      <c r="K5" s="5">
        <f>AVERAGE('1_RAW_CORRELATIONS'!AY5*1.3,'1_RAW_CORRELATIONS'!AZ5*1.1,'1_RAW_CORRELATIONS'!BA5*1,'1_RAW_CORRELATIONS'!BB5*0.9,'1_RAW_CORRELATIONS'!BC5*1.2)-0</f>
        <v/>
      </c>
      <c r="L5" s="5">
        <f>IFERROR((D5-AVERAGE(D$4:D$23))/STDEV(D$4:D$23),0)</f>
        <v/>
      </c>
      <c r="M5" s="5">
        <f>IFERROR((E5-AVERAGE(E$4:E$23))/STDEV(E$4:E$23),0)</f>
        <v/>
      </c>
      <c r="N5" s="5">
        <f>IFERROR((F5-AVERAGE(F$4:F$23))/STDEV(F$4:F$23),0)</f>
        <v/>
      </c>
      <c r="O5" s="5">
        <f>IFERROR((G5-AVERAGE(G$4:G$23))/STDEV(G$4:G$23),0)</f>
        <v/>
      </c>
      <c r="P5" s="5">
        <f>IFERROR((H5-AVERAGE(H$4:H$23))/STDEV(H$4:H$23),0)</f>
        <v/>
      </c>
      <c r="Q5" s="5">
        <f>IFERROR((I5-AVERAGE(I$4:I$23))/STDEV(I$4:I$23),0)</f>
        <v/>
      </c>
      <c r="R5" s="5">
        <f>IFERROR((J5-AVERAGE(J$4:J$23))/STDEV(J$4:J$23),0)</f>
        <v/>
      </c>
      <c r="S5" s="5">
        <f>IFERROR((K5-AVERAGE(K$4:K$23))/STDEV(K$4:K$23),0)</f>
        <v/>
      </c>
    </row>
    <row r="6">
      <c r="A6" s="3">
        <f>'1_RAW_CORRELATIONS'!A6</f>
        <v/>
      </c>
      <c r="B6" s="3">
        <f>'1_RAW_CORRELATIONS'!B6</f>
        <v/>
      </c>
      <c r="C6" s="11">
        <f>IF('2_FRAME_MARKUP'!E6=1,"HOOK ","" )&amp;IF('2_FRAME_MARKUP'!F6=1,"BRAND ","" )&amp;IF('2_FRAME_MARKUP'!G6=1,"PRODUCT ","" )&amp;IF('2_FRAME_MARKUP'!H6=1,"OFFER ","" )&amp;IF('2_FRAME_MARKUP'!I6=1,"CTA ","" )&amp;IF('2_FRAME_MARKUP'!J6=1,"LOGO ","" )</f>
        <v/>
      </c>
      <c r="D6" s="5">
        <f>AVERAGE('1_RAW_CORRELATIONS'!E6*1,'1_RAW_CORRELATIONS'!F6*1.2,'1_RAW_CORRELATIONS'!G6*1,'1_RAW_CORRELATIONS'!H6*1.1,'1_RAW_CORRELATIONS'!I6*1,'1_RAW_CORRELATIONS'!J6*1.2,'1_RAW_CORRELATIONS'!K6*0.7)-(MAX(0,'1_RAW_CORRELATIONS'!L6)*1)</f>
        <v/>
      </c>
      <c r="E6" s="5">
        <f>AVERAGE('1_RAW_CORRELATIONS'!M6*1.3,'1_RAW_CORRELATIONS'!N6*1,'1_RAW_CORRELATIONS'!O6*0.5,'1_RAW_CORRELATIONS'!P6*0.6,'1_RAW_CORRELATIONS'!Q6*0.6)-0</f>
        <v/>
      </c>
      <c r="F6" s="5">
        <f>AVERAGE('1_RAW_CORRELATIONS'!R6*1)-(MAX(0,'1_RAW_CORRELATIONS'!S6)*1.2+MAX(0,'1_RAW_CORRELATIONS'!T6)*1.5+MAX(0,'1_RAW_CORRELATIONS'!U6)*0.6+MAX(0,'1_RAW_CORRELATIONS'!V6)*0.5)</f>
        <v/>
      </c>
      <c r="G6" s="5">
        <f>AVERAGE('1_RAW_CORRELATIONS'!W6*1.5,'1_RAW_CORRELATIONS'!X6*1.3,'1_RAW_CORRELATIONS'!Y6*1,'1_RAW_CORRELATIONS'!Z6*1,'1_RAW_CORRELATIONS'!AA6*1.1,'1_RAW_CORRELATIONS'!AB6*1,'1_RAW_CORRELATIONS'!AC6*0.9)-0</f>
        <v/>
      </c>
      <c r="H6" s="5">
        <f>AVERAGE('1_RAW_CORRELATIONS'!AD6*1,'1_RAW_CORRELATIONS'!AE6*1.2,'1_RAW_CORRELATIONS'!AF6*1.1,'1_RAW_CORRELATIONS'!AG6*1.2,'1_RAW_CORRELATIONS'!AH6*1,'1_RAW_CORRELATIONS'!AI6*1,'1_RAW_CORRELATIONS'!AJ6*1.1,'1_RAW_CORRELATIONS'!AK6*1.1,'1_RAW_CORRELATIONS'!AL6*0.9)-0</f>
        <v/>
      </c>
      <c r="I6" s="5">
        <f>AVERAGE('1_RAW_CORRELATIONS'!AM6*1,'1_RAW_CORRELATIONS'!AN6*1.2,'1_RAW_CORRELATIONS'!AO6*1,'1_RAW_CORRELATIONS'!AP6*1.3,'1_RAW_CORRELATIONS'!AQ6*1.2,'1_RAW_CORRELATIONS'!AR6*1.3,'1_RAW_CORRELATIONS'!AS6*1.1,'1_RAW_CORRELATIONS'!AT6*0.7)-0</f>
        <v/>
      </c>
      <c r="J6" s="5">
        <f>AVERAGE('1_RAW_CORRELATIONS'!AU6*1.2,'1_RAW_CORRELATIONS'!AV6*1.2,'1_RAW_CORRELATIONS'!AW6*1.3,'1_RAW_CORRELATIONS'!AX6*1)-0</f>
        <v/>
      </c>
      <c r="K6" s="5">
        <f>AVERAGE('1_RAW_CORRELATIONS'!AY6*1.3,'1_RAW_CORRELATIONS'!AZ6*1.1,'1_RAW_CORRELATIONS'!BA6*1,'1_RAW_CORRELATIONS'!BB6*0.9,'1_RAW_CORRELATIONS'!BC6*1.2)-0</f>
        <v/>
      </c>
      <c r="L6" s="5">
        <f>IFERROR((D6-AVERAGE(D$4:D$23))/STDEV(D$4:D$23),0)</f>
        <v/>
      </c>
      <c r="M6" s="5">
        <f>IFERROR((E6-AVERAGE(E$4:E$23))/STDEV(E$4:E$23),0)</f>
        <v/>
      </c>
      <c r="N6" s="5">
        <f>IFERROR((F6-AVERAGE(F$4:F$23))/STDEV(F$4:F$23),0)</f>
        <v/>
      </c>
      <c r="O6" s="5">
        <f>IFERROR((G6-AVERAGE(G$4:G$23))/STDEV(G$4:G$23),0)</f>
        <v/>
      </c>
      <c r="P6" s="5">
        <f>IFERROR((H6-AVERAGE(H$4:H$23))/STDEV(H$4:H$23),0)</f>
        <v/>
      </c>
      <c r="Q6" s="5">
        <f>IFERROR((I6-AVERAGE(I$4:I$23))/STDEV(I$4:I$23),0)</f>
        <v/>
      </c>
      <c r="R6" s="5">
        <f>IFERROR((J6-AVERAGE(J$4:J$23))/STDEV(J$4:J$23),0)</f>
        <v/>
      </c>
      <c r="S6" s="5">
        <f>IFERROR((K6-AVERAGE(K$4:K$23))/STDEV(K$4:K$23),0)</f>
        <v/>
      </c>
    </row>
    <row r="7">
      <c r="A7" s="3">
        <f>'1_RAW_CORRELATIONS'!A7</f>
        <v/>
      </c>
      <c r="B7" s="3">
        <f>'1_RAW_CORRELATIONS'!B7</f>
        <v/>
      </c>
      <c r="C7" s="3">
        <f>IF('2_FRAME_MARKUP'!E7=1,"HOOK ","" )&amp;IF('2_FRAME_MARKUP'!F7=1,"BRAND ","" )&amp;IF('2_FRAME_MARKUP'!G7=1,"PRODUCT ","" )&amp;IF('2_FRAME_MARKUP'!H7=1,"OFFER ","" )&amp;IF('2_FRAME_MARKUP'!I7=1,"CTA ","" )&amp;IF('2_FRAME_MARKUP'!J7=1,"LOGO ","" )</f>
        <v/>
      </c>
      <c r="D7" s="5">
        <f>AVERAGE('1_RAW_CORRELATIONS'!E7*1,'1_RAW_CORRELATIONS'!F7*1.2,'1_RAW_CORRELATIONS'!G7*1,'1_RAW_CORRELATIONS'!H7*1.1,'1_RAW_CORRELATIONS'!I7*1,'1_RAW_CORRELATIONS'!J7*1.2,'1_RAW_CORRELATIONS'!K7*0.7)-(MAX(0,'1_RAW_CORRELATIONS'!L7)*1)</f>
        <v/>
      </c>
      <c r="E7" s="5">
        <f>AVERAGE('1_RAW_CORRELATIONS'!M7*1.3,'1_RAW_CORRELATIONS'!N7*1,'1_RAW_CORRELATIONS'!O7*0.5,'1_RAW_CORRELATIONS'!P7*0.6,'1_RAW_CORRELATIONS'!Q7*0.6)-0</f>
        <v/>
      </c>
      <c r="F7" s="5">
        <f>AVERAGE('1_RAW_CORRELATIONS'!R7*1)-(MAX(0,'1_RAW_CORRELATIONS'!S7)*1.2+MAX(0,'1_RAW_CORRELATIONS'!T7)*1.5+MAX(0,'1_RAW_CORRELATIONS'!U7)*0.6+MAX(0,'1_RAW_CORRELATIONS'!V7)*0.5)</f>
        <v/>
      </c>
      <c r="G7" s="5">
        <f>AVERAGE('1_RAW_CORRELATIONS'!W7*1.5,'1_RAW_CORRELATIONS'!X7*1.3,'1_RAW_CORRELATIONS'!Y7*1,'1_RAW_CORRELATIONS'!Z7*1,'1_RAW_CORRELATIONS'!AA7*1.1,'1_RAW_CORRELATIONS'!AB7*1,'1_RAW_CORRELATIONS'!AC7*0.9)-0</f>
        <v/>
      </c>
      <c r="H7" s="5">
        <f>AVERAGE('1_RAW_CORRELATIONS'!AD7*1,'1_RAW_CORRELATIONS'!AE7*1.2,'1_RAW_CORRELATIONS'!AF7*1.1,'1_RAW_CORRELATIONS'!AG7*1.2,'1_RAW_CORRELATIONS'!AH7*1,'1_RAW_CORRELATIONS'!AI7*1,'1_RAW_CORRELATIONS'!AJ7*1.1,'1_RAW_CORRELATIONS'!AK7*1.1,'1_RAW_CORRELATIONS'!AL7*0.9)-0</f>
        <v/>
      </c>
      <c r="I7" s="5">
        <f>AVERAGE('1_RAW_CORRELATIONS'!AM7*1,'1_RAW_CORRELATIONS'!AN7*1.2,'1_RAW_CORRELATIONS'!AO7*1,'1_RAW_CORRELATIONS'!AP7*1.3,'1_RAW_CORRELATIONS'!AQ7*1.2,'1_RAW_CORRELATIONS'!AR7*1.3,'1_RAW_CORRELATIONS'!AS7*1.1,'1_RAW_CORRELATIONS'!AT7*0.7)-0</f>
        <v/>
      </c>
      <c r="J7" s="5">
        <f>AVERAGE('1_RAW_CORRELATIONS'!AU7*1.2,'1_RAW_CORRELATIONS'!AV7*1.2,'1_RAW_CORRELATIONS'!AW7*1.3,'1_RAW_CORRELATIONS'!AX7*1)-0</f>
        <v/>
      </c>
      <c r="K7" s="5">
        <f>AVERAGE('1_RAW_CORRELATIONS'!AY7*1.3,'1_RAW_CORRELATIONS'!AZ7*1.1,'1_RAW_CORRELATIONS'!BA7*1,'1_RAW_CORRELATIONS'!BB7*0.9,'1_RAW_CORRELATIONS'!BC7*1.2)-0</f>
        <v/>
      </c>
      <c r="L7" s="5">
        <f>IFERROR((D7-AVERAGE(D$4:D$23))/STDEV(D$4:D$23),0)</f>
        <v/>
      </c>
      <c r="M7" s="5">
        <f>IFERROR((E7-AVERAGE(E$4:E$23))/STDEV(E$4:E$23),0)</f>
        <v/>
      </c>
      <c r="N7" s="5">
        <f>IFERROR((F7-AVERAGE(F$4:F$23))/STDEV(F$4:F$23),0)</f>
        <v/>
      </c>
      <c r="O7" s="5">
        <f>IFERROR((G7-AVERAGE(G$4:G$23))/STDEV(G$4:G$23),0)</f>
        <v/>
      </c>
      <c r="P7" s="5">
        <f>IFERROR((H7-AVERAGE(H$4:H$23))/STDEV(H$4:H$23),0)</f>
        <v/>
      </c>
      <c r="Q7" s="5">
        <f>IFERROR((I7-AVERAGE(I$4:I$23))/STDEV(I$4:I$23),0)</f>
        <v/>
      </c>
      <c r="R7" s="5">
        <f>IFERROR((J7-AVERAGE(J$4:J$23))/STDEV(J$4:J$23),0)</f>
        <v/>
      </c>
      <c r="S7" s="5">
        <f>IFERROR((K7-AVERAGE(K$4:K$23))/STDEV(K$4:K$23),0)</f>
        <v/>
      </c>
    </row>
    <row r="8">
      <c r="A8" s="3">
        <f>'1_RAW_CORRELATIONS'!A8</f>
        <v/>
      </c>
      <c r="B8" s="3">
        <f>'1_RAW_CORRELATIONS'!B8</f>
        <v/>
      </c>
      <c r="C8" s="3">
        <f>IF('2_FRAME_MARKUP'!E8=1,"HOOK ","" )&amp;IF('2_FRAME_MARKUP'!F8=1,"BRAND ","" )&amp;IF('2_FRAME_MARKUP'!G8=1,"PRODUCT ","" )&amp;IF('2_FRAME_MARKUP'!H8=1,"OFFER ","" )&amp;IF('2_FRAME_MARKUP'!I8=1,"CTA ","" )&amp;IF('2_FRAME_MARKUP'!J8=1,"LOGO ","" )</f>
        <v/>
      </c>
      <c r="D8" s="5">
        <f>AVERAGE('1_RAW_CORRELATIONS'!E8*1,'1_RAW_CORRELATIONS'!F8*1.2,'1_RAW_CORRELATIONS'!G8*1,'1_RAW_CORRELATIONS'!H8*1.1,'1_RAW_CORRELATIONS'!I8*1,'1_RAW_CORRELATIONS'!J8*1.2,'1_RAW_CORRELATIONS'!K8*0.7)-(MAX(0,'1_RAW_CORRELATIONS'!L8)*1)</f>
        <v/>
      </c>
      <c r="E8" s="5">
        <f>AVERAGE('1_RAW_CORRELATIONS'!M8*1.3,'1_RAW_CORRELATIONS'!N8*1,'1_RAW_CORRELATIONS'!O8*0.5,'1_RAW_CORRELATIONS'!P8*0.6,'1_RAW_CORRELATIONS'!Q8*0.6)-0</f>
        <v/>
      </c>
      <c r="F8" s="5">
        <f>AVERAGE('1_RAW_CORRELATIONS'!R8*1)-(MAX(0,'1_RAW_CORRELATIONS'!S8)*1.2+MAX(0,'1_RAW_CORRELATIONS'!T8)*1.5+MAX(0,'1_RAW_CORRELATIONS'!U8)*0.6+MAX(0,'1_RAW_CORRELATIONS'!V8)*0.5)</f>
        <v/>
      </c>
      <c r="G8" s="5">
        <f>AVERAGE('1_RAW_CORRELATIONS'!W8*1.5,'1_RAW_CORRELATIONS'!X8*1.3,'1_RAW_CORRELATIONS'!Y8*1,'1_RAW_CORRELATIONS'!Z8*1,'1_RAW_CORRELATIONS'!AA8*1.1,'1_RAW_CORRELATIONS'!AB8*1,'1_RAW_CORRELATIONS'!AC8*0.9)-0</f>
        <v/>
      </c>
      <c r="H8" s="5">
        <f>AVERAGE('1_RAW_CORRELATIONS'!AD8*1,'1_RAW_CORRELATIONS'!AE8*1.2,'1_RAW_CORRELATIONS'!AF8*1.1,'1_RAW_CORRELATIONS'!AG8*1.2,'1_RAW_CORRELATIONS'!AH8*1,'1_RAW_CORRELATIONS'!AI8*1,'1_RAW_CORRELATIONS'!AJ8*1.1,'1_RAW_CORRELATIONS'!AK8*1.1,'1_RAW_CORRELATIONS'!AL8*0.9)-0</f>
        <v/>
      </c>
      <c r="I8" s="5">
        <f>AVERAGE('1_RAW_CORRELATIONS'!AM8*1,'1_RAW_CORRELATIONS'!AN8*1.2,'1_RAW_CORRELATIONS'!AO8*1,'1_RAW_CORRELATIONS'!AP8*1.3,'1_RAW_CORRELATIONS'!AQ8*1.2,'1_RAW_CORRELATIONS'!AR8*1.3,'1_RAW_CORRELATIONS'!AS8*1.1,'1_RAW_CORRELATIONS'!AT8*0.7)-0</f>
        <v/>
      </c>
      <c r="J8" s="5">
        <f>AVERAGE('1_RAW_CORRELATIONS'!AU8*1.2,'1_RAW_CORRELATIONS'!AV8*1.2,'1_RAW_CORRELATIONS'!AW8*1.3,'1_RAW_CORRELATIONS'!AX8*1)-0</f>
        <v/>
      </c>
      <c r="K8" s="5">
        <f>AVERAGE('1_RAW_CORRELATIONS'!AY8*1.3,'1_RAW_CORRELATIONS'!AZ8*1.1,'1_RAW_CORRELATIONS'!BA8*1,'1_RAW_CORRELATIONS'!BB8*0.9,'1_RAW_CORRELATIONS'!BC8*1.2)-0</f>
        <v/>
      </c>
      <c r="L8" s="5">
        <f>IFERROR((D8-AVERAGE(D$4:D$23))/STDEV(D$4:D$23),0)</f>
        <v/>
      </c>
      <c r="M8" s="5">
        <f>IFERROR((E8-AVERAGE(E$4:E$23))/STDEV(E$4:E$23),0)</f>
        <v/>
      </c>
      <c r="N8" s="5">
        <f>IFERROR((F8-AVERAGE(F$4:F$23))/STDEV(F$4:F$23),0)</f>
        <v/>
      </c>
      <c r="O8" s="5">
        <f>IFERROR((G8-AVERAGE(G$4:G$23))/STDEV(G$4:G$23),0)</f>
        <v/>
      </c>
      <c r="P8" s="5">
        <f>IFERROR((H8-AVERAGE(H$4:H$23))/STDEV(H$4:H$23),0)</f>
        <v/>
      </c>
      <c r="Q8" s="5">
        <f>IFERROR((I8-AVERAGE(I$4:I$23))/STDEV(I$4:I$23),0)</f>
        <v/>
      </c>
      <c r="R8" s="5">
        <f>IFERROR((J8-AVERAGE(J$4:J$23))/STDEV(J$4:J$23),0)</f>
        <v/>
      </c>
      <c r="S8" s="5">
        <f>IFERROR((K8-AVERAGE(K$4:K$23))/STDEV(K$4:K$23),0)</f>
        <v/>
      </c>
    </row>
    <row r="9">
      <c r="A9" s="3">
        <f>'1_RAW_CORRELATIONS'!A9</f>
        <v/>
      </c>
      <c r="B9" s="3">
        <f>'1_RAW_CORRELATIONS'!B9</f>
        <v/>
      </c>
      <c r="C9" s="3">
        <f>IF('2_FRAME_MARKUP'!E9=1,"HOOK ","" )&amp;IF('2_FRAME_MARKUP'!F9=1,"BRAND ","" )&amp;IF('2_FRAME_MARKUP'!G9=1,"PRODUCT ","" )&amp;IF('2_FRAME_MARKUP'!H9=1,"OFFER ","" )&amp;IF('2_FRAME_MARKUP'!I9=1,"CTA ","" )&amp;IF('2_FRAME_MARKUP'!J9=1,"LOGO ","" )</f>
        <v/>
      </c>
      <c r="D9" s="5">
        <f>AVERAGE('1_RAW_CORRELATIONS'!E9*1,'1_RAW_CORRELATIONS'!F9*1.2,'1_RAW_CORRELATIONS'!G9*1,'1_RAW_CORRELATIONS'!H9*1.1,'1_RAW_CORRELATIONS'!I9*1,'1_RAW_CORRELATIONS'!J9*1.2,'1_RAW_CORRELATIONS'!K9*0.7)-(MAX(0,'1_RAW_CORRELATIONS'!L9)*1)</f>
        <v/>
      </c>
      <c r="E9" s="5">
        <f>AVERAGE('1_RAW_CORRELATIONS'!M9*1.3,'1_RAW_CORRELATIONS'!N9*1,'1_RAW_CORRELATIONS'!O9*0.5,'1_RAW_CORRELATIONS'!P9*0.6,'1_RAW_CORRELATIONS'!Q9*0.6)-0</f>
        <v/>
      </c>
      <c r="F9" s="5">
        <f>AVERAGE('1_RAW_CORRELATIONS'!R9*1)-(MAX(0,'1_RAW_CORRELATIONS'!S9)*1.2+MAX(0,'1_RAW_CORRELATIONS'!T9)*1.5+MAX(0,'1_RAW_CORRELATIONS'!U9)*0.6+MAX(0,'1_RAW_CORRELATIONS'!V9)*0.5)</f>
        <v/>
      </c>
      <c r="G9" s="5">
        <f>AVERAGE('1_RAW_CORRELATIONS'!W9*1.5,'1_RAW_CORRELATIONS'!X9*1.3,'1_RAW_CORRELATIONS'!Y9*1,'1_RAW_CORRELATIONS'!Z9*1,'1_RAW_CORRELATIONS'!AA9*1.1,'1_RAW_CORRELATIONS'!AB9*1,'1_RAW_CORRELATIONS'!AC9*0.9)-0</f>
        <v/>
      </c>
      <c r="H9" s="5">
        <f>AVERAGE('1_RAW_CORRELATIONS'!AD9*1,'1_RAW_CORRELATIONS'!AE9*1.2,'1_RAW_CORRELATIONS'!AF9*1.1,'1_RAW_CORRELATIONS'!AG9*1.2,'1_RAW_CORRELATIONS'!AH9*1,'1_RAW_CORRELATIONS'!AI9*1,'1_RAW_CORRELATIONS'!AJ9*1.1,'1_RAW_CORRELATIONS'!AK9*1.1,'1_RAW_CORRELATIONS'!AL9*0.9)-0</f>
        <v/>
      </c>
      <c r="I9" s="5">
        <f>AVERAGE('1_RAW_CORRELATIONS'!AM9*1,'1_RAW_CORRELATIONS'!AN9*1.2,'1_RAW_CORRELATIONS'!AO9*1,'1_RAW_CORRELATIONS'!AP9*1.3,'1_RAW_CORRELATIONS'!AQ9*1.2,'1_RAW_CORRELATIONS'!AR9*1.3,'1_RAW_CORRELATIONS'!AS9*1.1,'1_RAW_CORRELATIONS'!AT9*0.7)-0</f>
        <v/>
      </c>
      <c r="J9" s="5">
        <f>AVERAGE('1_RAW_CORRELATIONS'!AU9*1.2,'1_RAW_CORRELATIONS'!AV9*1.2,'1_RAW_CORRELATIONS'!AW9*1.3,'1_RAW_CORRELATIONS'!AX9*1)-0</f>
        <v/>
      </c>
      <c r="K9" s="5">
        <f>AVERAGE('1_RAW_CORRELATIONS'!AY9*1.3,'1_RAW_CORRELATIONS'!AZ9*1.1,'1_RAW_CORRELATIONS'!BA9*1,'1_RAW_CORRELATIONS'!BB9*0.9,'1_RAW_CORRELATIONS'!BC9*1.2)-0</f>
        <v/>
      </c>
      <c r="L9" s="5">
        <f>IFERROR((D9-AVERAGE(D$4:D$23))/STDEV(D$4:D$23),0)</f>
        <v/>
      </c>
      <c r="M9" s="5">
        <f>IFERROR((E9-AVERAGE(E$4:E$23))/STDEV(E$4:E$23),0)</f>
        <v/>
      </c>
      <c r="N9" s="5">
        <f>IFERROR((F9-AVERAGE(F$4:F$23))/STDEV(F$4:F$23),0)</f>
        <v/>
      </c>
      <c r="O9" s="5">
        <f>IFERROR((G9-AVERAGE(G$4:G$23))/STDEV(G$4:G$23),0)</f>
        <v/>
      </c>
      <c r="P9" s="5">
        <f>IFERROR((H9-AVERAGE(H$4:H$23))/STDEV(H$4:H$23),0)</f>
        <v/>
      </c>
      <c r="Q9" s="5">
        <f>IFERROR((I9-AVERAGE(I$4:I$23))/STDEV(I$4:I$23),0)</f>
        <v/>
      </c>
      <c r="R9" s="5">
        <f>IFERROR((J9-AVERAGE(J$4:J$23))/STDEV(J$4:J$23),0)</f>
        <v/>
      </c>
      <c r="S9" s="5">
        <f>IFERROR((K9-AVERAGE(K$4:K$23))/STDEV(K$4:K$23),0)</f>
        <v/>
      </c>
    </row>
    <row r="10">
      <c r="A10" s="3">
        <f>'1_RAW_CORRELATIONS'!A10</f>
        <v/>
      </c>
      <c r="B10" s="3">
        <f>'1_RAW_CORRELATIONS'!B10</f>
        <v/>
      </c>
      <c r="C10" s="3">
        <f>IF('2_FRAME_MARKUP'!E10=1,"HOOK ","" )&amp;IF('2_FRAME_MARKUP'!F10=1,"BRAND ","" )&amp;IF('2_FRAME_MARKUP'!G10=1,"PRODUCT ","" )&amp;IF('2_FRAME_MARKUP'!H10=1,"OFFER ","" )&amp;IF('2_FRAME_MARKUP'!I10=1,"CTA ","" )&amp;IF('2_FRAME_MARKUP'!J10=1,"LOGO ","" )</f>
        <v/>
      </c>
      <c r="D10" s="5">
        <f>AVERAGE('1_RAW_CORRELATIONS'!E10*1,'1_RAW_CORRELATIONS'!F10*1.2,'1_RAW_CORRELATIONS'!G10*1,'1_RAW_CORRELATIONS'!H10*1.1,'1_RAW_CORRELATIONS'!I10*1,'1_RAW_CORRELATIONS'!J10*1.2,'1_RAW_CORRELATIONS'!K10*0.7)-(MAX(0,'1_RAW_CORRELATIONS'!L10)*1)</f>
        <v/>
      </c>
      <c r="E10" s="5">
        <f>AVERAGE('1_RAW_CORRELATIONS'!M10*1.3,'1_RAW_CORRELATIONS'!N10*1,'1_RAW_CORRELATIONS'!O10*0.5,'1_RAW_CORRELATIONS'!P10*0.6,'1_RAW_CORRELATIONS'!Q10*0.6)-0</f>
        <v/>
      </c>
      <c r="F10" s="5">
        <f>AVERAGE('1_RAW_CORRELATIONS'!R10*1)-(MAX(0,'1_RAW_CORRELATIONS'!S10)*1.2+MAX(0,'1_RAW_CORRELATIONS'!T10)*1.5+MAX(0,'1_RAW_CORRELATIONS'!U10)*0.6+MAX(0,'1_RAW_CORRELATIONS'!V10)*0.5)</f>
        <v/>
      </c>
      <c r="G10" s="5">
        <f>AVERAGE('1_RAW_CORRELATIONS'!W10*1.5,'1_RAW_CORRELATIONS'!X10*1.3,'1_RAW_CORRELATIONS'!Y10*1,'1_RAW_CORRELATIONS'!Z10*1,'1_RAW_CORRELATIONS'!AA10*1.1,'1_RAW_CORRELATIONS'!AB10*1,'1_RAW_CORRELATIONS'!AC10*0.9)-0</f>
        <v/>
      </c>
      <c r="H10" s="5">
        <f>AVERAGE('1_RAW_CORRELATIONS'!AD10*1,'1_RAW_CORRELATIONS'!AE10*1.2,'1_RAW_CORRELATIONS'!AF10*1.1,'1_RAW_CORRELATIONS'!AG10*1.2,'1_RAW_CORRELATIONS'!AH10*1,'1_RAW_CORRELATIONS'!AI10*1,'1_RAW_CORRELATIONS'!AJ10*1.1,'1_RAW_CORRELATIONS'!AK10*1.1,'1_RAW_CORRELATIONS'!AL10*0.9)-0</f>
        <v/>
      </c>
      <c r="I10" s="5">
        <f>AVERAGE('1_RAW_CORRELATIONS'!AM10*1,'1_RAW_CORRELATIONS'!AN10*1.2,'1_RAW_CORRELATIONS'!AO10*1,'1_RAW_CORRELATIONS'!AP10*1.3,'1_RAW_CORRELATIONS'!AQ10*1.2,'1_RAW_CORRELATIONS'!AR10*1.3,'1_RAW_CORRELATIONS'!AS10*1.1,'1_RAW_CORRELATIONS'!AT10*0.7)-0</f>
        <v/>
      </c>
      <c r="J10" s="5">
        <f>AVERAGE('1_RAW_CORRELATIONS'!AU10*1.2,'1_RAW_CORRELATIONS'!AV10*1.2,'1_RAW_CORRELATIONS'!AW10*1.3,'1_RAW_CORRELATIONS'!AX10*1)-0</f>
        <v/>
      </c>
      <c r="K10" s="5">
        <f>AVERAGE('1_RAW_CORRELATIONS'!AY10*1.3,'1_RAW_CORRELATIONS'!AZ10*1.1,'1_RAW_CORRELATIONS'!BA10*1,'1_RAW_CORRELATIONS'!BB10*0.9,'1_RAW_CORRELATIONS'!BC10*1.2)-0</f>
        <v/>
      </c>
      <c r="L10" s="5">
        <f>IFERROR((D10-AVERAGE(D$4:D$23))/STDEV(D$4:D$23),0)</f>
        <v/>
      </c>
      <c r="M10" s="5">
        <f>IFERROR((E10-AVERAGE(E$4:E$23))/STDEV(E$4:E$23),0)</f>
        <v/>
      </c>
      <c r="N10" s="5">
        <f>IFERROR((F10-AVERAGE(F$4:F$23))/STDEV(F$4:F$23),0)</f>
        <v/>
      </c>
      <c r="O10" s="5">
        <f>IFERROR((G10-AVERAGE(G$4:G$23))/STDEV(G$4:G$23),0)</f>
        <v/>
      </c>
      <c r="P10" s="5">
        <f>IFERROR((H10-AVERAGE(H$4:H$23))/STDEV(H$4:H$23),0)</f>
        <v/>
      </c>
      <c r="Q10" s="5">
        <f>IFERROR((I10-AVERAGE(I$4:I$23))/STDEV(I$4:I$23),0)</f>
        <v/>
      </c>
      <c r="R10" s="5">
        <f>IFERROR((J10-AVERAGE(J$4:J$23))/STDEV(J$4:J$23),0)</f>
        <v/>
      </c>
      <c r="S10" s="5">
        <f>IFERROR((K10-AVERAGE(K$4:K$23))/STDEV(K$4:K$23),0)</f>
        <v/>
      </c>
    </row>
    <row r="11">
      <c r="A11" s="3">
        <f>'1_RAW_CORRELATIONS'!A11</f>
        <v/>
      </c>
      <c r="B11" s="3">
        <f>'1_RAW_CORRELATIONS'!B11</f>
        <v/>
      </c>
      <c r="C11" s="3">
        <f>IF('2_FRAME_MARKUP'!E11=1,"HOOK ","" )&amp;IF('2_FRAME_MARKUP'!F11=1,"BRAND ","" )&amp;IF('2_FRAME_MARKUP'!G11=1,"PRODUCT ","" )&amp;IF('2_FRAME_MARKUP'!H11=1,"OFFER ","" )&amp;IF('2_FRAME_MARKUP'!I11=1,"CTA ","" )&amp;IF('2_FRAME_MARKUP'!J11=1,"LOGO ","" )</f>
        <v/>
      </c>
      <c r="D11" s="5">
        <f>AVERAGE('1_RAW_CORRELATIONS'!E11*1,'1_RAW_CORRELATIONS'!F11*1.2,'1_RAW_CORRELATIONS'!G11*1,'1_RAW_CORRELATIONS'!H11*1.1,'1_RAW_CORRELATIONS'!I11*1,'1_RAW_CORRELATIONS'!J11*1.2,'1_RAW_CORRELATIONS'!K11*0.7)-(MAX(0,'1_RAW_CORRELATIONS'!L11)*1)</f>
        <v/>
      </c>
      <c r="E11" s="5">
        <f>AVERAGE('1_RAW_CORRELATIONS'!M11*1.3,'1_RAW_CORRELATIONS'!N11*1,'1_RAW_CORRELATIONS'!O11*0.5,'1_RAW_CORRELATIONS'!P11*0.6,'1_RAW_CORRELATIONS'!Q11*0.6)-0</f>
        <v/>
      </c>
      <c r="F11" s="5">
        <f>AVERAGE('1_RAW_CORRELATIONS'!R11*1)-(MAX(0,'1_RAW_CORRELATIONS'!S11)*1.2+MAX(0,'1_RAW_CORRELATIONS'!T11)*1.5+MAX(0,'1_RAW_CORRELATIONS'!U11)*0.6+MAX(0,'1_RAW_CORRELATIONS'!V11)*0.5)</f>
        <v/>
      </c>
      <c r="G11" s="5">
        <f>AVERAGE('1_RAW_CORRELATIONS'!W11*1.5,'1_RAW_CORRELATIONS'!X11*1.3,'1_RAW_CORRELATIONS'!Y11*1,'1_RAW_CORRELATIONS'!Z11*1,'1_RAW_CORRELATIONS'!AA11*1.1,'1_RAW_CORRELATIONS'!AB11*1,'1_RAW_CORRELATIONS'!AC11*0.9)-0</f>
        <v/>
      </c>
      <c r="H11" s="5">
        <f>AVERAGE('1_RAW_CORRELATIONS'!AD11*1,'1_RAW_CORRELATIONS'!AE11*1.2,'1_RAW_CORRELATIONS'!AF11*1.1,'1_RAW_CORRELATIONS'!AG11*1.2,'1_RAW_CORRELATIONS'!AH11*1,'1_RAW_CORRELATIONS'!AI11*1,'1_RAW_CORRELATIONS'!AJ11*1.1,'1_RAW_CORRELATIONS'!AK11*1.1,'1_RAW_CORRELATIONS'!AL11*0.9)-0</f>
        <v/>
      </c>
      <c r="I11" s="5">
        <f>AVERAGE('1_RAW_CORRELATIONS'!AM11*1,'1_RAW_CORRELATIONS'!AN11*1.2,'1_RAW_CORRELATIONS'!AO11*1,'1_RAW_CORRELATIONS'!AP11*1.3,'1_RAW_CORRELATIONS'!AQ11*1.2,'1_RAW_CORRELATIONS'!AR11*1.3,'1_RAW_CORRELATIONS'!AS11*1.1,'1_RAW_CORRELATIONS'!AT11*0.7)-0</f>
        <v/>
      </c>
      <c r="J11" s="5">
        <f>AVERAGE('1_RAW_CORRELATIONS'!AU11*1.2,'1_RAW_CORRELATIONS'!AV11*1.2,'1_RAW_CORRELATIONS'!AW11*1.3,'1_RAW_CORRELATIONS'!AX11*1)-0</f>
        <v/>
      </c>
      <c r="K11" s="5">
        <f>AVERAGE('1_RAW_CORRELATIONS'!AY11*1.3,'1_RAW_CORRELATIONS'!AZ11*1.1,'1_RAW_CORRELATIONS'!BA11*1,'1_RAW_CORRELATIONS'!BB11*0.9,'1_RAW_CORRELATIONS'!BC11*1.2)-0</f>
        <v/>
      </c>
      <c r="L11" s="5">
        <f>IFERROR((D11-AVERAGE(D$4:D$23))/STDEV(D$4:D$23),0)</f>
        <v/>
      </c>
      <c r="M11" s="5">
        <f>IFERROR((E11-AVERAGE(E$4:E$23))/STDEV(E$4:E$23),0)</f>
        <v/>
      </c>
      <c r="N11" s="5">
        <f>IFERROR((F11-AVERAGE(F$4:F$23))/STDEV(F$4:F$23),0)</f>
        <v/>
      </c>
      <c r="O11" s="5">
        <f>IFERROR((G11-AVERAGE(G$4:G$23))/STDEV(G$4:G$23),0)</f>
        <v/>
      </c>
      <c r="P11" s="5">
        <f>IFERROR((H11-AVERAGE(H$4:H$23))/STDEV(H$4:H$23),0)</f>
        <v/>
      </c>
      <c r="Q11" s="5">
        <f>IFERROR((I11-AVERAGE(I$4:I$23))/STDEV(I$4:I$23),0)</f>
        <v/>
      </c>
      <c r="R11" s="5">
        <f>IFERROR((J11-AVERAGE(J$4:J$23))/STDEV(J$4:J$23),0)</f>
        <v/>
      </c>
      <c r="S11" s="5">
        <f>IFERROR((K11-AVERAGE(K$4:K$23))/STDEV(K$4:K$23),0)</f>
        <v/>
      </c>
    </row>
    <row r="12">
      <c r="A12" s="3">
        <f>'1_RAW_CORRELATIONS'!A12</f>
        <v/>
      </c>
      <c r="B12" s="3">
        <f>'1_RAW_CORRELATIONS'!B12</f>
        <v/>
      </c>
      <c r="C12" s="3">
        <f>IF('2_FRAME_MARKUP'!E12=1,"HOOK ","" )&amp;IF('2_FRAME_MARKUP'!F12=1,"BRAND ","" )&amp;IF('2_FRAME_MARKUP'!G12=1,"PRODUCT ","" )&amp;IF('2_FRAME_MARKUP'!H12=1,"OFFER ","" )&amp;IF('2_FRAME_MARKUP'!I12=1,"CTA ","" )&amp;IF('2_FRAME_MARKUP'!J12=1,"LOGO ","" )</f>
        <v/>
      </c>
      <c r="D12" s="5">
        <f>AVERAGE('1_RAW_CORRELATIONS'!E12*1,'1_RAW_CORRELATIONS'!F12*1.2,'1_RAW_CORRELATIONS'!G12*1,'1_RAW_CORRELATIONS'!H12*1.1,'1_RAW_CORRELATIONS'!I12*1,'1_RAW_CORRELATIONS'!J12*1.2,'1_RAW_CORRELATIONS'!K12*0.7)-(MAX(0,'1_RAW_CORRELATIONS'!L12)*1)</f>
        <v/>
      </c>
      <c r="E12" s="5">
        <f>AVERAGE('1_RAW_CORRELATIONS'!M12*1.3,'1_RAW_CORRELATIONS'!N12*1,'1_RAW_CORRELATIONS'!O12*0.5,'1_RAW_CORRELATIONS'!P12*0.6,'1_RAW_CORRELATIONS'!Q12*0.6)-0</f>
        <v/>
      </c>
      <c r="F12" s="5">
        <f>AVERAGE('1_RAW_CORRELATIONS'!R12*1)-(MAX(0,'1_RAW_CORRELATIONS'!S12)*1.2+MAX(0,'1_RAW_CORRELATIONS'!T12)*1.5+MAX(0,'1_RAW_CORRELATIONS'!U12)*0.6+MAX(0,'1_RAW_CORRELATIONS'!V12)*0.5)</f>
        <v/>
      </c>
      <c r="G12" s="5">
        <f>AVERAGE('1_RAW_CORRELATIONS'!W12*1.5,'1_RAW_CORRELATIONS'!X12*1.3,'1_RAW_CORRELATIONS'!Y12*1,'1_RAW_CORRELATIONS'!Z12*1,'1_RAW_CORRELATIONS'!AA12*1.1,'1_RAW_CORRELATIONS'!AB12*1,'1_RAW_CORRELATIONS'!AC12*0.9)-0</f>
        <v/>
      </c>
      <c r="H12" s="5">
        <f>AVERAGE('1_RAW_CORRELATIONS'!AD12*1,'1_RAW_CORRELATIONS'!AE12*1.2,'1_RAW_CORRELATIONS'!AF12*1.1,'1_RAW_CORRELATIONS'!AG12*1.2,'1_RAW_CORRELATIONS'!AH12*1,'1_RAW_CORRELATIONS'!AI12*1,'1_RAW_CORRELATIONS'!AJ12*1.1,'1_RAW_CORRELATIONS'!AK12*1.1,'1_RAW_CORRELATIONS'!AL12*0.9)-0</f>
        <v/>
      </c>
      <c r="I12" s="5">
        <f>AVERAGE('1_RAW_CORRELATIONS'!AM12*1,'1_RAW_CORRELATIONS'!AN12*1.2,'1_RAW_CORRELATIONS'!AO12*1,'1_RAW_CORRELATIONS'!AP12*1.3,'1_RAW_CORRELATIONS'!AQ12*1.2,'1_RAW_CORRELATIONS'!AR12*1.3,'1_RAW_CORRELATIONS'!AS12*1.1,'1_RAW_CORRELATIONS'!AT12*0.7)-0</f>
        <v/>
      </c>
      <c r="J12" s="5">
        <f>AVERAGE('1_RAW_CORRELATIONS'!AU12*1.2,'1_RAW_CORRELATIONS'!AV12*1.2,'1_RAW_CORRELATIONS'!AW12*1.3,'1_RAW_CORRELATIONS'!AX12*1)-0</f>
        <v/>
      </c>
      <c r="K12" s="5">
        <f>AVERAGE('1_RAW_CORRELATIONS'!AY12*1.3,'1_RAW_CORRELATIONS'!AZ12*1.1,'1_RAW_CORRELATIONS'!BA12*1,'1_RAW_CORRELATIONS'!BB12*0.9,'1_RAW_CORRELATIONS'!BC12*1.2)-0</f>
        <v/>
      </c>
      <c r="L12" s="5">
        <f>IFERROR((D12-AVERAGE(D$4:D$23))/STDEV(D$4:D$23),0)</f>
        <v/>
      </c>
      <c r="M12" s="5">
        <f>IFERROR((E12-AVERAGE(E$4:E$23))/STDEV(E$4:E$23),0)</f>
        <v/>
      </c>
      <c r="N12" s="5">
        <f>IFERROR((F12-AVERAGE(F$4:F$23))/STDEV(F$4:F$23),0)</f>
        <v/>
      </c>
      <c r="O12" s="5">
        <f>IFERROR((G12-AVERAGE(G$4:G$23))/STDEV(G$4:G$23),0)</f>
        <v/>
      </c>
      <c r="P12" s="5">
        <f>IFERROR((H12-AVERAGE(H$4:H$23))/STDEV(H$4:H$23),0)</f>
        <v/>
      </c>
      <c r="Q12" s="5">
        <f>IFERROR((I12-AVERAGE(I$4:I$23))/STDEV(I$4:I$23),0)</f>
        <v/>
      </c>
      <c r="R12" s="5">
        <f>IFERROR((J12-AVERAGE(J$4:J$23))/STDEV(J$4:J$23),0)</f>
        <v/>
      </c>
      <c r="S12" s="5">
        <f>IFERROR((K12-AVERAGE(K$4:K$23))/STDEV(K$4:K$23),0)</f>
        <v/>
      </c>
    </row>
    <row r="13">
      <c r="A13" s="3">
        <f>'1_RAW_CORRELATIONS'!A13</f>
        <v/>
      </c>
      <c r="B13" s="3">
        <f>'1_RAW_CORRELATIONS'!B13</f>
        <v/>
      </c>
      <c r="C13" s="3">
        <f>IF('2_FRAME_MARKUP'!E13=1,"HOOK ","" )&amp;IF('2_FRAME_MARKUP'!F13=1,"BRAND ","" )&amp;IF('2_FRAME_MARKUP'!G13=1,"PRODUCT ","" )&amp;IF('2_FRAME_MARKUP'!H13=1,"OFFER ","" )&amp;IF('2_FRAME_MARKUP'!I13=1,"CTA ","" )&amp;IF('2_FRAME_MARKUP'!J13=1,"LOGO ","" )</f>
        <v/>
      </c>
      <c r="D13" s="5">
        <f>AVERAGE('1_RAW_CORRELATIONS'!E13*1,'1_RAW_CORRELATIONS'!F13*1.2,'1_RAW_CORRELATIONS'!G13*1,'1_RAW_CORRELATIONS'!H13*1.1,'1_RAW_CORRELATIONS'!I13*1,'1_RAW_CORRELATIONS'!J13*1.2,'1_RAW_CORRELATIONS'!K13*0.7)-(MAX(0,'1_RAW_CORRELATIONS'!L13)*1)</f>
        <v/>
      </c>
      <c r="E13" s="5">
        <f>AVERAGE('1_RAW_CORRELATIONS'!M13*1.3,'1_RAW_CORRELATIONS'!N13*1,'1_RAW_CORRELATIONS'!O13*0.5,'1_RAW_CORRELATIONS'!P13*0.6,'1_RAW_CORRELATIONS'!Q13*0.6)-0</f>
        <v/>
      </c>
      <c r="F13" s="5">
        <f>AVERAGE('1_RAW_CORRELATIONS'!R13*1)-(MAX(0,'1_RAW_CORRELATIONS'!S13)*1.2+MAX(0,'1_RAW_CORRELATIONS'!T13)*1.5+MAX(0,'1_RAW_CORRELATIONS'!U13)*0.6+MAX(0,'1_RAW_CORRELATIONS'!V13)*0.5)</f>
        <v/>
      </c>
      <c r="G13" s="5">
        <f>AVERAGE('1_RAW_CORRELATIONS'!W13*1.5,'1_RAW_CORRELATIONS'!X13*1.3,'1_RAW_CORRELATIONS'!Y13*1,'1_RAW_CORRELATIONS'!Z13*1,'1_RAW_CORRELATIONS'!AA13*1.1,'1_RAW_CORRELATIONS'!AB13*1,'1_RAW_CORRELATIONS'!AC13*0.9)-0</f>
        <v/>
      </c>
      <c r="H13" s="5">
        <f>AVERAGE('1_RAW_CORRELATIONS'!AD13*1,'1_RAW_CORRELATIONS'!AE13*1.2,'1_RAW_CORRELATIONS'!AF13*1.1,'1_RAW_CORRELATIONS'!AG13*1.2,'1_RAW_CORRELATIONS'!AH13*1,'1_RAW_CORRELATIONS'!AI13*1,'1_RAW_CORRELATIONS'!AJ13*1.1,'1_RAW_CORRELATIONS'!AK13*1.1,'1_RAW_CORRELATIONS'!AL13*0.9)-0</f>
        <v/>
      </c>
      <c r="I13" s="5">
        <f>AVERAGE('1_RAW_CORRELATIONS'!AM13*1,'1_RAW_CORRELATIONS'!AN13*1.2,'1_RAW_CORRELATIONS'!AO13*1,'1_RAW_CORRELATIONS'!AP13*1.3,'1_RAW_CORRELATIONS'!AQ13*1.2,'1_RAW_CORRELATIONS'!AR13*1.3,'1_RAW_CORRELATIONS'!AS13*1.1,'1_RAW_CORRELATIONS'!AT13*0.7)-0</f>
        <v/>
      </c>
      <c r="J13" s="5">
        <f>AVERAGE('1_RAW_CORRELATIONS'!AU13*1.2,'1_RAW_CORRELATIONS'!AV13*1.2,'1_RAW_CORRELATIONS'!AW13*1.3,'1_RAW_CORRELATIONS'!AX13*1)-0</f>
        <v/>
      </c>
      <c r="K13" s="5">
        <f>AVERAGE('1_RAW_CORRELATIONS'!AY13*1.3,'1_RAW_CORRELATIONS'!AZ13*1.1,'1_RAW_CORRELATIONS'!BA13*1,'1_RAW_CORRELATIONS'!BB13*0.9,'1_RAW_CORRELATIONS'!BC13*1.2)-0</f>
        <v/>
      </c>
      <c r="L13" s="5">
        <f>IFERROR((D13-AVERAGE(D$4:D$23))/STDEV(D$4:D$23),0)</f>
        <v/>
      </c>
      <c r="M13" s="5">
        <f>IFERROR((E13-AVERAGE(E$4:E$23))/STDEV(E$4:E$23),0)</f>
        <v/>
      </c>
      <c r="N13" s="5">
        <f>IFERROR((F13-AVERAGE(F$4:F$23))/STDEV(F$4:F$23),0)</f>
        <v/>
      </c>
      <c r="O13" s="5">
        <f>IFERROR((G13-AVERAGE(G$4:G$23))/STDEV(G$4:G$23),0)</f>
        <v/>
      </c>
      <c r="P13" s="5">
        <f>IFERROR((H13-AVERAGE(H$4:H$23))/STDEV(H$4:H$23),0)</f>
        <v/>
      </c>
      <c r="Q13" s="5">
        <f>IFERROR((I13-AVERAGE(I$4:I$23))/STDEV(I$4:I$23),0)</f>
        <v/>
      </c>
      <c r="R13" s="5">
        <f>IFERROR((J13-AVERAGE(J$4:J$23))/STDEV(J$4:J$23),0)</f>
        <v/>
      </c>
      <c r="S13" s="5">
        <f>IFERROR((K13-AVERAGE(K$4:K$23))/STDEV(K$4:K$23),0)</f>
        <v/>
      </c>
    </row>
    <row r="14">
      <c r="A14" s="3" t="n"/>
      <c r="B14" s="3" t="n"/>
      <c r="C14" s="3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3" t="n"/>
      <c r="B15" s="3" t="n"/>
      <c r="C15" s="3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3" t="n"/>
      <c r="B16" s="3" t="n"/>
      <c r="C16" s="3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3" t="n"/>
      <c r="B17" s="3" t="n"/>
      <c r="C17" s="3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3" t="n"/>
      <c r="B18" s="3" t="n"/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3" t="n"/>
      <c r="B19" s="3" t="n"/>
      <c r="C19" s="3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3" t="n"/>
      <c r="B20" s="3" t="n"/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3" t="n"/>
      <c r="B21" s="3" t="n"/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3" t="n"/>
      <c r="B22" s="3" t="n"/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3" t="n"/>
      <c r="B23" s="3" t="n"/>
      <c r="C23" s="3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4" ySplit="3" topLeftCell="E6" activePane="bottomRight" state="frozen"/>
      <selection pane="topRight" activeCell="E1" sqref="E1"/>
      <selection pane="bottomLeft" activeCell="A4" sqref="A4"/>
      <selection pane="bottomRight" activeCell="J8" sqref="J8"/>
    </sheetView>
  </sheetViews>
  <sheetFormatPr baseColWidth="8" defaultRowHeight="14.5"/>
  <cols>
    <col width="10.7265625" customWidth="1" min="1" max="1"/>
    <col width="8.7265625" customWidth="1" min="2" max="2"/>
    <col width="34.7265625" customWidth="1" min="3" max="3"/>
    <col width="20.7265625" customWidth="1" min="4" max="4"/>
    <col width="11.7265625" customWidth="1" min="5" max="10"/>
  </cols>
  <sheetData>
    <row r="1" ht="18.5" customHeight="1">
      <c r="A1" s="6" t="inlineStr">
        <is>
          <t>2_FRAME_MARKUP — Разметка кадров (заполняется вручную перед анализом)</t>
        </is>
      </c>
    </row>
    <row r="2">
      <c r="A2" s="7" t="inlineStr">
        <is>
          <t>Правило: каждый тег — отдельный столбец (1/0). 1 = тег присвоен, 0 = нет. frame_id и second тянутся из листа 1.</t>
        </is>
      </c>
    </row>
    <row r="3">
      <c r="A3" s="2" t="inlineStr">
        <is>
          <t>frame_id</t>
        </is>
      </c>
      <c r="B3" s="2" t="inlineStr">
        <is>
          <t>second</t>
        </is>
      </c>
      <c r="C3" s="2" t="inlineStr">
        <is>
          <t>scene_description</t>
        </is>
      </c>
      <c r="D3" s="2" t="inlineStr">
        <is>
          <t>frame_image</t>
        </is>
      </c>
      <c r="E3" s="2" t="inlineStr">
        <is>
          <t>HOOK</t>
        </is>
      </c>
      <c r="F3" s="2" t="inlineStr">
        <is>
          <t>BRAND</t>
        </is>
      </c>
      <c r="G3" s="2" t="inlineStr">
        <is>
          <t>PRODUCT</t>
        </is>
      </c>
      <c r="H3" s="2" t="inlineStr">
        <is>
          <t>OFFER</t>
        </is>
      </c>
      <c r="I3" s="2" t="inlineStr">
        <is>
          <t>CTA</t>
        </is>
      </c>
      <c r="J3" s="10" t="inlineStr">
        <is>
          <t>LOGO</t>
        </is>
      </c>
    </row>
    <row r="4" ht="56" customHeight="1">
      <c r="A4" s="3">
        <f>'1_RAW_CORRELATIONS'!A4</f>
        <v/>
      </c>
      <c r="B4" s="3">
        <f>'1_RAW_CORRELATIONS'!B4</f>
        <v/>
      </c>
      <c r="C4" s="4">
        <f>'1_RAW_CORRELATIONS'!C4</f>
        <v/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</row>
    <row r="5" ht="56" customHeight="1">
      <c r="A5" s="3">
        <f>'1_RAW_CORRELATIONS'!A5</f>
        <v/>
      </c>
      <c r="B5" s="3">
        <f>'1_RAW_CORRELATIONS'!B5</f>
        <v/>
      </c>
      <c r="C5" s="4">
        <f>'1_RAW_CORRELATIONS'!C5</f>
        <v/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56" customHeight="1">
      <c r="A6" s="3">
        <f>'1_RAW_CORRELATIONS'!A6</f>
        <v/>
      </c>
      <c r="B6" s="3">
        <f>'1_RAW_CORRELATIONS'!B6</f>
        <v/>
      </c>
      <c r="C6" s="4">
        <f>'1_RAW_CORRELATIONS'!C6</f>
        <v/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</v>
      </c>
    </row>
    <row r="7" ht="56" customHeight="1">
      <c r="A7" s="3">
        <f>'1_RAW_CORRELATIONS'!A7</f>
        <v/>
      </c>
      <c r="B7" s="3">
        <f>'1_RAW_CORRELATIONS'!B7</f>
        <v/>
      </c>
      <c r="C7" s="4">
        <f>'1_RAW_CORRELATIONS'!C7</f>
        <v/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1</v>
      </c>
    </row>
    <row r="8" ht="56" customHeight="1">
      <c r="A8" s="3">
        <f>'1_RAW_CORRELATIONS'!A8</f>
        <v/>
      </c>
      <c r="B8" s="3">
        <f>'1_RAW_CORRELATIONS'!B8</f>
        <v/>
      </c>
      <c r="C8" s="4">
        <f>'1_RAW_CORRELATIONS'!C8</f>
        <v/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</row>
    <row r="9" ht="56" customHeight="1">
      <c r="A9" s="3">
        <f>'1_RAW_CORRELATIONS'!A9</f>
        <v/>
      </c>
      <c r="B9" s="3">
        <f>'1_RAW_CORRELATIONS'!B9</f>
        <v/>
      </c>
      <c r="C9" s="4">
        <f>'1_RAW_CORRELATIONS'!C9</f>
        <v/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</row>
    <row r="10" ht="56" customHeight="1">
      <c r="A10" s="3">
        <f>'1_RAW_CORRELATIONS'!A10</f>
        <v/>
      </c>
      <c r="B10" s="3">
        <f>'1_RAW_CORRELATIONS'!B10</f>
        <v/>
      </c>
      <c r="C10" s="4">
        <f>'1_RAW_CORRELATIONS'!C10</f>
        <v/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</row>
    <row r="11" ht="56" customHeight="1">
      <c r="A11" s="3">
        <f>'1_RAW_CORRELATIONS'!A11</f>
        <v/>
      </c>
      <c r="B11" s="3">
        <f>'1_RAW_CORRELATIONS'!B11</f>
        <v/>
      </c>
      <c r="C11" s="4">
        <f>'1_RAW_CORRELATIONS'!C11</f>
        <v/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</row>
    <row r="12" ht="56" customHeight="1">
      <c r="A12" s="3">
        <f>'1_RAW_CORRELATIONS'!A12</f>
        <v/>
      </c>
      <c r="B12" s="3">
        <f>'1_RAW_CORRELATIONS'!B12</f>
        <v/>
      </c>
      <c r="C12" s="4">
        <f>'1_RAW_CORRELATIONS'!C12</f>
        <v/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 ht="56" customHeight="1">
      <c r="A13" s="3">
        <f>'1_RAW_CORRELATIONS'!A13</f>
        <v/>
      </c>
      <c r="B13" s="3">
        <f>'1_RAW_CORRELATIONS'!B13</f>
        <v/>
      </c>
      <c r="C13" s="4">
        <f>'1_RAW_CORRELATIONS'!C13</f>
        <v/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</row>
    <row r="14" ht="56" customHeight="1">
      <c r="A14" s="3" t="n"/>
      <c r="B14" s="3" t="n"/>
      <c r="C14" s="4" t="n"/>
      <c r="E14" s="8" t="n"/>
      <c r="F14" s="8" t="n"/>
      <c r="G14" s="8" t="n"/>
      <c r="H14" s="8" t="n"/>
      <c r="I14" s="8" t="n"/>
      <c r="J14" s="8" t="n"/>
    </row>
    <row r="15" ht="56" customHeight="1">
      <c r="A15" s="3" t="n"/>
      <c r="B15" s="3" t="n"/>
      <c r="C15" s="4" t="n"/>
      <c r="E15" s="8" t="n"/>
      <c r="F15" s="8" t="n"/>
      <c r="G15" s="8" t="n"/>
      <c r="H15" s="8" t="n"/>
      <c r="I15" s="8" t="n"/>
      <c r="J15" s="8" t="n"/>
    </row>
    <row r="16" ht="56" customHeight="1">
      <c r="A16" s="3" t="n"/>
      <c r="B16" s="3" t="n"/>
      <c r="C16" s="4" t="n"/>
      <c r="E16" s="8" t="n"/>
      <c r="F16" s="8" t="n"/>
      <c r="G16" s="8" t="n"/>
      <c r="H16" s="8" t="n"/>
      <c r="I16" s="8" t="n"/>
      <c r="J16" s="8" t="n"/>
    </row>
    <row r="17" ht="56" customHeight="1">
      <c r="A17" s="3" t="n"/>
      <c r="B17" s="3" t="n"/>
      <c r="C17" s="4" t="n"/>
      <c r="E17" s="8" t="n"/>
      <c r="F17" s="8" t="n"/>
      <c r="G17" s="8" t="n"/>
      <c r="H17" s="8" t="n"/>
      <c r="I17" s="8" t="n"/>
      <c r="J17" s="8" t="n"/>
    </row>
    <row r="18" ht="56" customHeight="1">
      <c r="A18" s="3" t="n"/>
      <c r="B18" s="3" t="n"/>
      <c r="C18" s="4" t="n"/>
      <c r="E18" s="8" t="n"/>
      <c r="F18" s="8" t="n"/>
      <c r="G18" s="8" t="n"/>
      <c r="H18" s="8" t="n"/>
      <c r="I18" s="8" t="n"/>
      <c r="J18" s="8" t="n"/>
    </row>
    <row r="19" ht="56" customHeight="1">
      <c r="A19" s="3" t="n"/>
      <c r="B19" s="3" t="n"/>
      <c r="C19" s="4" t="n"/>
      <c r="E19" s="8" t="n"/>
      <c r="F19" s="8" t="n"/>
      <c r="G19" s="8" t="n"/>
      <c r="H19" s="8" t="n"/>
      <c r="I19" s="8" t="n"/>
      <c r="J19" s="8" t="n"/>
    </row>
    <row r="20" ht="56" customHeight="1">
      <c r="A20" s="3" t="n"/>
      <c r="B20" s="3" t="n"/>
      <c r="C20" s="4" t="n"/>
      <c r="E20" s="8" t="n"/>
      <c r="F20" s="8" t="n"/>
      <c r="G20" s="8" t="n"/>
      <c r="H20" s="8" t="n"/>
      <c r="I20" s="8" t="n"/>
      <c r="J20" s="8" t="n"/>
    </row>
    <row r="21" ht="56" customHeight="1">
      <c r="A21" s="3" t="n"/>
      <c r="B21" s="3" t="n"/>
      <c r="C21" s="4" t="n"/>
      <c r="E21" s="8" t="n"/>
      <c r="F21" s="8" t="n"/>
      <c r="G21" s="8" t="n"/>
      <c r="H21" s="8" t="n"/>
      <c r="I21" s="8" t="n"/>
      <c r="J21" s="8" t="n"/>
    </row>
    <row r="22" ht="56" customHeight="1">
      <c r="A22" s="3" t="n"/>
      <c r="B22" s="3" t="n"/>
      <c r="C22" s="4" t="n"/>
      <c r="E22" s="8" t="n"/>
      <c r="F22" s="8" t="n"/>
      <c r="G22" s="8" t="n"/>
      <c r="H22" s="8" t="n"/>
      <c r="I22" s="8" t="n"/>
      <c r="J22" s="8" t="n"/>
    </row>
    <row r="23" ht="56" customHeight="1">
      <c r="A23" s="3" t="n"/>
      <c r="B23" s="3" t="n"/>
      <c r="C23" s="4" t="n"/>
      <c r="E23" s="8" t="n"/>
      <c r="F23" s="8" t="n"/>
      <c r="G23" s="8" t="n"/>
      <c r="H23" s="8" t="n"/>
      <c r="I23" s="8" t="n"/>
      <c r="J23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topLeftCell="A62" workbookViewId="0">
      <selection activeCell="B41" sqref="B41"/>
    </sheetView>
  </sheetViews>
  <sheetFormatPr baseColWidth="8" defaultRowHeight="14.5"/>
  <cols>
    <col width="12.7265625" customWidth="1" min="1" max="1"/>
    <col width="22.7265625" customWidth="1" min="2" max="2"/>
    <col width="10.7265625" customWidth="1" min="3" max="3"/>
    <col width="24.7265625" customWidth="1" min="4" max="5"/>
    <col width="34.7265625" customWidth="1" min="6" max="7"/>
  </cols>
  <sheetData>
    <row r="1" ht="18.5" customHeight="1">
      <c r="A1" s="6" t="inlineStr">
        <is>
          <t>5_WEIGHTS_REF — Справочник весов (можно редактировать)</t>
        </is>
      </c>
    </row>
    <row r="2">
      <c r="A2" s="3" t="inlineStr">
        <is>
          <t>Веса — экспертная эвристика v1. Синим выделены ячейки весов — их можно менять. После изменения пересчитать лист 3. Отрицательные веса означают штраф (penalty/load).</t>
        </is>
      </c>
    </row>
    <row r="3">
      <c r="A3" s="2" t="inlineStr">
        <is>
          <t>index_id</t>
        </is>
      </c>
      <c r="B3" s="2" t="inlineStr">
        <is>
          <t>term</t>
        </is>
      </c>
      <c r="C3" s="2" t="inlineStr">
        <is>
          <t>weight</t>
        </is>
      </c>
      <c r="D3" s="2" t="inlineStr">
        <is>
          <t>role</t>
        </is>
      </c>
      <c r="E3" s="2" t="inlineStr">
        <is>
          <t>index_name</t>
        </is>
      </c>
      <c r="F3" s="2" t="inlineStr">
        <is>
          <t>note</t>
        </is>
      </c>
      <c r="G3" s="2" t="inlineStr">
        <is>
          <t>neurosynth_query</t>
        </is>
      </c>
    </row>
    <row r="4">
      <c r="A4" s="3" t="inlineStr">
        <is>
          <t>ATT</t>
        </is>
      </c>
      <c r="B4" s="3" t="inlineStr">
        <is>
          <t>attention</t>
        </is>
      </c>
      <c r="C4" s="9" t="n">
        <v>1</v>
      </c>
      <c r="D4" s="3" t="inlineStr">
        <is>
          <t>anchor</t>
        </is>
      </c>
      <c r="E4" s="3" t="inlineStr">
        <is>
          <t>ATT — Внимание и захват взгляда</t>
        </is>
      </c>
      <c r="G4" s="3" t="inlineStr">
        <is>
          <t>attention</t>
        </is>
      </c>
    </row>
    <row r="5">
      <c r="A5" s="3" t="inlineStr">
        <is>
          <t>ATT</t>
        </is>
      </c>
      <c r="B5" s="3" t="inlineStr">
        <is>
          <t>visual_attention</t>
        </is>
      </c>
      <c r="C5" s="9" t="n">
        <v>1.2</v>
      </c>
      <c r="D5" s="3" t="inlineStr">
        <is>
          <t>core</t>
        </is>
      </c>
      <c r="E5" s="3" t="inlineStr">
        <is>
          <t>ATT — Внимание и захват взгляда</t>
        </is>
      </c>
      <c r="G5" s="3" t="inlineStr">
        <is>
          <t>visual attention</t>
        </is>
      </c>
    </row>
    <row r="6">
      <c r="A6" s="3" t="inlineStr">
        <is>
          <t>ATT</t>
        </is>
      </c>
      <c r="B6" s="3" t="inlineStr">
        <is>
          <t>attentional</t>
        </is>
      </c>
      <c r="C6" s="9" t="n">
        <v>1</v>
      </c>
      <c r="D6" s="3" t="inlineStr">
        <is>
          <t>core</t>
        </is>
      </c>
      <c r="E6" s="3" t="inlineStr">
        <is>
          <t>ATT — Внимание и захват взгляда</t>
        </is>
      </c>
      <c r="G6" s="3" t="inlineStr">
        <is>
          <t>attentional</t>
        </is>
      </c>
    </row>
    <row r="7">
      <c r="A7" s="3" t="inlineStr">
        <is>
          <t>ATT</t>
        </is>
      </c>
      <c r="B7" s="3" t="inlineStr">
        <is>
          <t>orienting</t>
        </is>
      </c>
      <c r="C7" s="9" t="n">
        <v>1.1</v>
      </c>
      <c r="D7" s="3" t="inlineStr">
        <is>
          <t>core</t>
        </is>
      </c>
      <c r="E7" s="3" t="inlineStr">
        <is>
          <t>ATT — Внимание и захват взгляда</t>
        </is>
      </c>
      <c r="G7" s="3" t="inlineStr">
        <is>
          <t>orienting</t>
        </is>
      </c>
    </row>
    <row r="8">
      <c r="A8" s="3" t="inlineStr">
        <is>
          <t>ATT</t>
        </is>
      </c>
      <c r="B8" s="3" t="inlineStr">
        <is>
          <t>target_detection</t>
        </is>
      </c>
      <c r="C8" s="9" t="n">
        <v>1</v>
      </c>
      <c r="D8" s="3" t="inlineStr">
        <is>
          <t>core</t>
        </is>
      </c>
      <c r="E8" s="3" t="inlineStr">
        <is>
          <t>ATT — Внимание и захват взгляда</t>
        </is>
      </c>
      <c r="G8" s="3" t="inlineStr">
        <is>
          <t>target detection</t>
        </is>
      </c>
    </row>
    <row r="9">
      <c r="A9" s="3" t="inlineStr">
        <is>
          <t>ATT</t>
        </is>
      </c>
      <c r="B9" s="3" t="inlineStr">
        <is>
          <t>salience</t>
        </is>
      </c>
      <c r="C9" s="9" t="n">
        <v>1.2</v>
      </c>
      <c r="D9" s="3" t="inlineStr">
        <is>
          <t>core</t>
        </is>
      </c>
      <c r="E9" s="3" t="inlineStr">
        <is>
          <t>ATT — Внимание и захват взгляда</t>
        </is>
      </c>
      <c r="G9" s="3" t="inlineStr">
        <is>
          <t>salience</t>
        </is>
      </c>
    </row>
    <row r="10">
      <c r="A10" s="3" t="inlineStr">
        <is>
          <t>ATT</t>
        </is>
      </c>
      <c r="B10" s="3" t="inlineStr">
        <is>
          <t>visual_stimuli</t>
        </is>
      </c>
      <c r="C10" s="9" t="n">
        <v>0.7</v>
      </c>
      <c r="D10" s="3" t="inlineStr">
        <is>
          <t>support</t>
        </is>
      </c>
      <c r="E10" s="3" t="inlineStr">
        <is>
          <t>ATT — Внимание и захват взгляда</t>
        </is>
      </c>
      <c r="G10" s="3" t="inlineStr">
        <is>
          <t>visual stimuli</t>
        </is>
      </c>
    </row>
    <row r="11">
      <c r="A11" s="3" t="inlineStr">
        <is>
          <t>ATT</t>
        </is>
      </c>
      <c r="B11" s="3" t="inlineStr">
        <is>
          <t>distractor</t>
        </is>
      </c>
      <c r="C11" s="9" t="n">
        <v>-1</v>
      </c>
      <c r="D11" s="3" t="inlineStr">
        <is>
          <t>penalty</t>
        </is>
      </c>
      <c r="E11" s="3" t="inlineStr">
        <is>
          <t>ATT — Внимание и захват взгляда</t>
        </is>
      </c>
      <c r="F11" s="3" t="inlineStr">
        <is>
          <t>Вычитается как штраф</t>
        </is>
      </c>
      <c r="G11" s="3" t="inlineStr">
        <is>
          <t>distractor</t>
        </is>
      </c>
    </row>
    <row r="12">
      <c r="A12" s="3" t="inlineStr">
        <is>
          <t>AFF_A</t>
        </is>
      </c>
      <c r="B12" s="3" t="inlineStr">
        <is>
          <t>arousal</t>
        </is>
      </c>
      <c r="C12" s="9" t="n">
        <v>1.3</v>
      </c>
      <c r="D12" s="3" t="inlineStr">
        <is>
          <t>core</t>
        </is>
      </c>
      <c r="E12" s="3" t="inlineStr">
        <is>
          <t>AFF-A — Эмоциональная интенсивность (Arousal)</t>
        </is>
      </c>
      <c r="G12" s="3" t="inlineStr">
        <is>
          <t>arousal</t>
        </is>
      </c>
    </row>
    <row r="13">
      <c r="A13" s="3" t="inlineStr">
        <is>
          <t>AFF_A</t>
        </is>
      </c>
      <c r="B13" s="3" t="inlineStr">
        <is>
          <t>affective</t>
        </is>
      </c>
      <c r="C13" s="9" t="n">
        <v>1</v>
      </c>
      <c r="D13" s="3" t="inlineStr">
        <is>
          <t>core</t>
        </is>
      </c>
      <c r="E13" s="3" t="inlineStr">
        <is>
          <t>AFF-A — Эмоциональная интенсивность (Arousal)</t>
        </is>
      </c>
      <c r="G13" s="3" t="inlineStr">
        <is>
          <t>affective</t>
        </is>
      </c>
    </row>
    <row r="14">
      <c r="A14" s="3" t="inlineStr">
        <is>
          <t>AFF_A</t>
        </is>
      </c>
      <c r="B14" s="3" t="inlineStr">
        <is>
          <t>emotional</t>
        </is>
      </c>
      <c r="C14" s="9" t="n">
        <v>0.5</v>
      </c>
      <c r="D14" s="3" t="inlineStr">
        <is>
          <t>anchor</t>
        </is>
      </c>
      <c r="E14" s="3" t="inlineStr">
        <is>
          <t>AFF-A — Эмоциональная интенсивность (Arousal)</t>
        </is>
      </c>
      <c r="G14" s="3" t="inlineStr">
        <is>
          <t>emotional</t>
        </is>
      </c>
    </row>
    <row r="15">
      <c r="A15" s="3" t="inlineStr">
        <is>
          <t>AFF_A</t>
        </is>
      </c>
      <c r="B15" s="3" t="inlineStr">
        <is>
          <t>emotional_stimuli</t>
        </is>
      </c>
      <c r="C15" s="9" t="n">
        <v>0.6</v>
      </c>
      <c r="D15" s="3" t="inlineStr">
        <is>
          <t>core</t>
        </is>
      </c>
      <c r="E15" s="3" t="inlineStr">
        <is>
          <t>AFF-A — Эмоциональная интенсивность (Arousal)</t>
        </is>
      </c>
      <c r="F15" s="3" t="inlineStr">
        <is>
          <t>Новый терм v1.3 — заменяет 'emotion' для большей специфичности</t>
        </is>
      </c>
      <c r="G15" s="3" t="inlineStr">
        <is>
          <t>emotional stimuli</t>
        </is>
      </c>
    </row>
    <row r="16">
      <c r="A16" s="3" t="inlineStr">
        <is>
          <t>AFF_A</t>
        </is>
      </c>
      <c r="B16" s="3" t="inlineStr">
        <is>
          <t>emotional_responses</t>
        </is>
      </c>
      <c r="C16" s="9" t="n">
        <v>0.6</v>
      </c>
      <c r="D16" s="3" t="inlineStr">
        <is>
          <t>core</t>
        </is>
      </c>
      <c r="E16" s="3" t="inlineStr">
        <is>
          <t>AFF-A — Эмоциональная интенсивность (Arousal)</t>
        </is>
      </c>
      <c r="F16" s="3" t="inlineStr">
        <is>
          <t>Новый терм v1.3 — заменяет 'emotion' для большей специфичности</t>
        </is>
      </c>
      <c r="G16" s="3" t="inlineStr">
        <is>
          <t>emotional responses</t>
        </is>
      </c>
    </row>
    <row r="17">
      <c r="A17" s="3" t="inlineStr">
        <is>
          <t>AFF_V</t>
        </is>
      </c>
      <c r="B17" s="3" t="inlineStr">
        <is>
          <t>valence</t>
        </is>
      </c>
      <c r="C17" s="9" t="n">
        <v>1</v>
      </c>
      <c r="D17" s="3" t="inlineStr">
        <is>
          <t>anchor</t>
        </is>
      </c>
      <c r="E17" s="3" t="inlineStr">
        <is>
          <t>AFF-V — Негативная эмоциональная окраска</t>
        </is>
      </c>
      <c r="G17" s="3" t="inlineStr">
        <is>
          <t>valence</t>
        </is>
      </c>
    </row>
    <row r="18">
      <c r="A18" s="3" t="inlineStr">
        <is>
          <t>AFF_V</t>
        </is>
      </c>
      <c r="B18" s="3" t="inlineStr">
        <is>
          <t>negative_affect</t>
        </is>
      </c>
      <c r="C18" s="9" t="n">
        <v>1.2</v>
      </c>
      <c r="D18" s="3" t="inlineStr">
        <is>
          <t>penalty</t>
        </is>
      </c>
      <c r="E18" s="3" t="inlineStr">
        <is>
          <t>AFF-V — Негативная эмоциональная окраска</t>
        </is>
      </c>
      <c r="F18" s="3" t="inlineStr">
        <is>
          <t>Вычитается как штраф</t>
        </is>
      </c>
      <c r="G18" s="3" t="inlineStr">
        <is>
          <t>negative affect</t>
        </is>
      </c>
    </row>
    <row r="19">
      <c r="A19" s="3" t="inlineStr">
        <is>
          <t>AFF_V</t>
        </is>
      </c>
      <c r="B19" s="3" t="inlineStr">
        <is>
          <t>disgust</t>
        </is>
      </c>
      <c r="C19" s="9" t="n">
        <v>1.5</v>
      </c>
      <c r="D19" s="3" t="inlineStr">
        <is>
          <t>penalty</t>
        </is>
      </c>
      <c r="E19" s="3" t="inlineStr">
        <is>
          <t>AFF-V — Негативная эмоциональная окраска</t>
        </is>
      </c>
      <c r="F19" s="3" t="inlineStr">
        <is>
          <t>Вычитается как штраф</t>
        </is>
      </c>
      <c r="G19" s="3" t="inlineStr">
        <is>
          <t>disgust</t>
        </is>
      </c>
    </row>
    <row r="20">
      <c r="A20" s="3" t="inlineStr">
        <is>
          <t>AFF_V</t>
        </is>
      </c>
      <c r="B20" s="3" t="inlineStr">
        <is>
          <t>fear</t>
        </is>
      </c>
      <c r="C20" s="9" t="n">
        <v>0.6</v>
      </c>
      <c r="D20" s="3" t="inlineStr">
        <is>
          <t>penalty</t>
        </is>
      </c>
      <c r="E20" s="3" t="inlineStr">
        <is>
          <t>AFF-V — Негативная эмоциональная окраска</t>
        </is>
      </c>
      <c r="F20" s="3" t="inlineStr">
        <is>
          <t>Вычитается как штраф</t>
        </is>
      </c>
      <c r="G20" s="3" t="inlineStr">
        <is>
          <t>fear</t>
        </is>
      </c>
    </row>
    <row r="21">
      <c r="A21" s="3" t="inlineStr">
        <is>
          <t>AFF_V</t>
        </is>
      </c>
      <c r="B21" s="3" t="inlineStr">
        <is>
          <t>anxiety</t>
        </is>
      </c>
      <c r="C21" s="9" t="n">
        <v>0.5</v>
      </c>
      <c r="D21" s="3" t="inlineStr">
        <is>
          <t>penalty</t>
        </is>
      </c>
      <c r="E21" s="3" t="inlineStr">
        <is>
          <t>AFF-V — Негативная эмоциональная окраска</t>
        </is>
      </c>
      <c r="F21" s="3" t="inlineStr">
        <is>
          <t>Вычитается как штраф</t>
        </is>
      </c>
      <c r="G21" s="3" t="inlineStr">
        <is>
          <t>anxiety</t>
        </is>
      </c>
    </row>
    <row r="22">
      <c r="A22" s="3" t="inlineStr">
        <is>
          <t>MEM</t>
        </is>
      </c>
      <c r="B22" s="3" t="inlineStr">
        <is>
          <t>encoding</t>
        </is>
      </c>
      <c r="C22" s="9" t="n">
        <v>1.5</v>
      </c>
      <c r="D22" s="3" t="inlineStr">
        <is>
          <t>core</t>
        </is>
      </c>
      <c r="E22" s="3" t="inlineStr">
        <is>
          <t>MEM — Потенциал запоминания</t>
        </is>
      </c>
      <c r="G22" s="3" t="inlineStr">
        <is>
          <t>encoding</t>
        </is>
      </c>
    </row>
    <row r="23">
      <c r="A23" s="3" t="inlineStr">
        <is>
          <t>MEM</t>
        </is>
      </c>
      <c r="B23" s="3" t="inlineStr">
        <is>
          <t>subsequent_memory</t>
        </is>
      </c>
      <c r="C23" s="9" t="n">
        <v>1.3</v>
      </c>
      <c r="D23" s="3" t="inlineStr">
        <is>
          <t>core</t>
        </is>
      </c>
      <c r="E23" s="3" t="inlineStr">
        <is>
          <t>MEM — Потенциал запоминания</t>
        </is>
      </c>
      <c r="G23" s="3" t="inlineStr">
        <is>
          <t>subsequent memory</t>
        </is>
      </c>
    </row>
    <row r="24">
      <c r="A24" s="3" t="inlineStr">
        <is>
          <t>MEM</t>
        </is>
      </c>
      <c r="B24" s="3" t="inlineStr">
        <is>
          <t>episodic_memory</t>
        </is>
      </c>
      <c r="C24" s="9" t="n">
        <v>1</v>
      </c>
      <c r="D24" s="3" t="inlineStr">
        <is>
          <t>core</t>
        </is>
      </c>
      <c r="E24" s="3" t="inlineStr">
        <is>
          <t>MEM — Потенциал запоминания</t>
        </is>
      </c>
      <c r="G24" s="3" t="inlineStr">
        <is>
          <t>episodic memory</t>
        </is>
      </c>
    </row>
    <row r="25">
      <c r="A25" s="3" t="inlineStr">
        <is>
          <t>MEM</t>
        </is>
      </c>
      <c r="B25" s="3" t="inlineStr">
        <is>
          <t>semantic_memory</t>
        </is>
      </c>
      <c r="C25" s="9" t="n">
        <v>1</v>
      </c>
      <c r="D25" s="3" t="inlineStr">
        <is>
          <t>core</t>
        </is>
      </c>
      <c r="E25" s="3" t="inlineStr">
        <is>
          <t>MEM — Потенциал запоминания</t>
        </is>
      </c>
      <c r="G25" s="3" t="inlineStr">
        <is>
          <t>semantic memory</t>
        </is>
      </c>
    </row>
    <row r="26">
      <c r="A26" s="3" t="inlineStr">
        <is>
          <t>MEM</t>
        </is>
      </c>
      <c r="B26" s="3" t="inlineStr">
        <is>
          <t>recall</t>
        </is>
      </c>
      <c r="C26" s="9" t="n">
        <v>1.1</v>
      </c>
      <c r="D26" s="3" t="inlineStr">
        <is>
          <t>core</t>
        </is>
      </c>
      <c r="E26" s="3" t="inlineStr">
        <is>
          <t>MEM — Потенциал запоминания</t>
        </is>
      </c>
      <c r="G26" s="3" t="inlineStr">
        <is>
          <t>recall</t>
        </is>
      </c>
    </row>
    <row r="27">
      <c r="A27" s="3" t="inlineStr">
        <is>
          <t>MEM</t>
        </is>
      </c>
      <c r="B27" s="3" t="inlineStr">
        <is>
          <t>recognition</t>
        </is>
      </c>
      <c r="C27" s="9" t="n">
        <v>1</v>
      </c>
      <c r="D27" s="3" t="inlineStr">
        <is>
          <t>core</t>
        </is>
      </c>
      <c r="E27" s="3" t="inlineStr">
        <is>
          <t>MEM — Потенциал запоминания</t>
        </is>
      </c>
      <c r="G27" s="3" t="inlineStr">
        <is>
          <t>recognition</t>
        </is>
      </c>
    </row>
    <row r="28">
      <c r="A28" s="3" t="inlineStr">
        <is>
          <t>MEM</t>
        </is>
      </c>
      <c r="B28" s="3" t="inlineStr">
        <is>
          <t>familiarity</t>
        </is>
      </c>
      <c r="C28" s="9" t="n">
        <v>0.9</v>
      </c>
      <c r="D28" s="3" t="inlineStr">
        <is>
          <t>support</t>
        </is>
      </c>
      <c r="E28" s="3" t="inlineStr">
        <is>
          <t>MEM — Потенциал запоминания</t>
        </is>
      </c>
      <c r="G28" s="3" t="inlineStr">
        <is>
          <t>familiarity</t>
        </is>
      </c>
    </row>
    <row r="29">
      <c r="A29" s="3" t="inlineStr">
        <is>
          <t>REW</t>
        </is>
      </c>
      <c r="B29" s="3" t="inlineStr">
        <is>
          <t>reward</t>
        </is>
      </c>
      <c r="C29" s="9" t="n">
        <v>1</v>
      </c>
      <c r="D29" s="3" t="inlineStr">
        <is>
          <t>anchor</t>
        </is>
      </c>
      <c r="E29" s="3" t="inlineStr">
        <is>
          <t>REW — Воспринимаемая ценность и мотивация</t>
        </is>
      </c>
      <c r="G29" s="3" t="inlineStr">
        <is>
          <t>reward</t>
        </is>
      </c>
    </row>
    <row r="30">
      <c r="A30" s="3" t="inlineStr">
        <is>
          <t>REW</t>
        </is>
      </c>
      <c r="B30" s="3" t="inlineStr">
        <is>
          <t>reward_anticipation</t>
        </is>
      </c>
      <c r="C30" s="9" t="n">
        <v>1.2</v>
      </c>
      <c r="D30" s="3" t="inlineStr">
        <is>
          <t>core</t>
        </is>
      </c>
      <c r="E30" s="3" t="inlineStr">
        <is>
          <t>REW — Воспринимаемая ценность и мотивация</t>
        </is>
      </c>
      <c r="G30" s="3" t="inlineStr">
        <is>
          <t>reward anticipation</t>
        </is>
      </c>
    </row>
    <row r="31">
      <c r="A31" s="3" t="inlineStr">
        <is>
          <t>REW</t>
        </is>
      </c>
      <c r="B31" s="3" t="inlineStr">
        <is>
          <t>motivation</t>
        </is>
      </c>
      <c r="C31" s="9" t="n">
        <v>1.1</v>
      </c>
      <c r="D31" s="3" t="inlineStr">
        <is>
          <t>core</t>
        </is>
      </c>
      <c r="E31" s="3" t="inlineStr">
        <is>
          <t>REW — Воспринимаемая ценность и мотивация</t>
        </is>
      </c>
      <c r="G31" s="3" t="inlineStr">
        <is>
          <t>motivation</t>
        </is>
      </c>
    </row>
    <row r="32">
      <c r="A32" s="3" t="inlineStr">
        <is>
          <t>REW</t>
        </is>
      </c>
      <c r="B32" s="3" t="inlineStr">
        <is>
          <t>value</t>
        </is>
      </c>
      <c r="C32" s="9" t="n">
        <v>1.2</v>
      </c>
      <c r="D32" s="3" t="inlineStr">
        <is>
          <t>core</t>
        </is>
      </c>
      <c r="E32" s="3" t="inlineStr">
        <is>
          <t>REW — Воспринимаемая ценность и мотивация</t>
        </is>
      </c>
      <c r="G32" s="3" t="inlineStr">
        <is>
          <t>value</t>
        </is>
      </c>
    </row>
    <row r="33">
      <c r="A33" s="3" t="inlineStr">
        <is>
          <t>REW</t>
        </is>
      </c>
      <c r="B33" s="3" t="inlineStr">
        <is>
          <t>incentive</t>
        </is>
      </c>
      <c r="C33" s="9" t="n">
        <v>1</v>
      </c>
      <c r="D33" s="3" t="inlineStr">
        <is>
          <t>core</t>
        </is>
      </c>
      <c r="E33" s="3" t="inlineStr">
        <is>
          <t>REW — Воспринимаемая ценность и мотивация</t>
        </is>
      </c>
      <c r="G33" s="3" t="inlineStr">
        <is>
          <t>incentive</t>
        </is>
      </c>
    </row>
    <row r="34">
      <c r="A34" s="3" t="inlineStr">
        <is>
          <t>REW</t>
        </is>
      </c>
      <c r="B34" s="3" t="inlineStr">
        <is>
          <t>preference</t>
        </is>
      </c>
      <c r="C34" s="9" t="n">
        <v>1</v>
      </c>
      <c r="D34" s="3" t="inlineStr">
        <is>
          <t>core</t>
        </is>
      </c>
      <c r="E34" s="3" t="inlineStr">
        <is>
          <t>REW — Воспринимаемая ценность и мотивация</t>
        </is>
      </c>
      <c r="G34" s="3" t="inlineStr">
        <is>
          <t>preference</t>
        </is>
      </c>
    </row>
    <row r="35">
      <c r="A35" s="3" t="inlineStr">
        <is>
          <t>REW</t>
        </is>
      </c>
      <c r="B35" s="3" t="inlineStr">
        <is>
          <t>approach</t>
        </is>
      </c>
      <c r="C35" s="9" t="n">
        <v>1.1</v>
      </c>
      <c r="D35" s="3" t="inlineStr">
        <is>
          <t>core</t>
        </is>
      </c>
      <c r="E35" s="3" t="inlineStr">
        <is>
          <t>REW — Воспринимаемая ценность и мотивация</t>
        </is>
      </c>
      <c r="G35" s="3" t="inlineStr">
        <is>
          <t>approach</t>
        </is>
      </c>
    </row>
    <row r="36">
      <c r="A36" s="3" t="inlineStr">
        <is>
          <t>REW</t>
        </is>
      </c>
      <c r="B36" s="3" t="inlineStr">
        <is>
          <t>monetary_reward</t>
        </is>
      </c>
      <c r="C36" s="9" t="n">
        <v>1.1</v>
      </c>
      <c r="D36" s="3" t="inlineStr">
        <is>
          <t>spec</t>
        </is>
      </c>
      <c r="E36" s="3" t="inlineStr">
        <is>
          <t>REW — Воспринимаемая ценность и мотивация</t>
        </is>
      </c>
      <c r="G36" s="3" t="inlineStr">
        <is>
          <t>monetary reward</t>
        </is>
      </c>
    </row>
    <row r="37">
      <c r="A37" s="3" t="inlineStr">
        <is>
          <t>REW</t>
        </is>
      </c>
      <c r="B37" s="3" t="inlineStr">
        <is>
          <t>craving</t>
        </is>
      </c>
      <c r="C37" s="9" t="n">
        <v>0.9</v>
      </c>
      <c r="D37" s="3" t="inlineStr">
        <is>
          <t>spec</t>
        </is>
      </c>
      <c r="E37" s="3" t="inlineStr">
        <is>
          <t>REW — Воспринимаемая ценность и мотивация</t>
        </is>
      </c>
      <c r="G37" s="3" t="inlineStr">
        <is>
          <t>craving</t>
        </is>
      </c>
    </row>
    <row r="38">
      <c r="A38" s="3" t="inlineStr">
        <is>
          <t>SOC</t>
        </is>
      </c>
      <c r="B38" s="3" t="inlineStr">
        <is>
          <t>social_cognition</t>
        </is>
      </c>
      <c r="C38" s="9" t="n">
        <v>1</v>
      </c>
      <c r="D38" s="3" t="inlineStr">
        <is>
          <t>anchor</t>
        </is>
      </c>
      <c r="E38" s="3" t="inlineStr">
        <is>
          <t>SOC — Социальный резонанс</t>
        </is>
      </c>
      <c r="G38" s="3" t="inlineStr">
        <is>
          <t>social cognition</t>
        </is>
      </c>
    </row>
    <row r="39">
      <c r="A39" s="3" t="inlineStr">
        <is>
          <t>SOC</t>
        </is>
      </c>
      <c r="B39" s="3" t="inlineStr">
        <is>
          <t>mentalizing</t>
        </is>
      </c>
      <c r="C39" s="9" t="n">
        <v>1.2</v>
      </c>
      <c r="D39" s="3" t="inlineStr">
        <is>
          <t>core</t>
        </is>
      </c>
      <c r="E39" s="3" t="inlineStr">
        <is>
          <t>SOC — Социальный резонанс</t>
        </is>
      </c>
      <c r="G39" s="3" t="inlineStr">
        <is>
          <t>mentalizing</t>
        </is>
      </c>
    </row>
    <row r="40">
      <c r="A40" s="3" t="inlineStr">
        <is>
          <t>SOC</t>
        </is>
      </c>
      <c r="B40" s="3" t="inlineStr">
        <is>
          <t>theory_mind</t>
        </is>
      </c>
      <c r="C40" s="9" t="n">
        <v>1</v>
      </c>
      <c r="D40" s="3" t="inlineStr">
        <is>
          <t>core</t>
        </is>
      </c>
      <c r="E40" s="3" t="inlineStr">
        <is>
          <t>SOC — Социальный резонанс</t>
        </is>
      </c>
      <c r="F40" s="3" t="inlineStr">
        <is>
          <t>Заменён с 'theory_of_mind' — в Neurosynth закодирован без 'of': 'theory mind'</t>
        </is>
      </c>
      <c r="G40" s="3" t="inlineStr">
        <is>
          <t>theory mind</t>
        </is>
      </c>
    </row>
    <row r="41">
      <c r="A41" s="3" t="inlineStr">
        <is>
          <t>SOC</t>
        </is>
      </c>
      <c r="B41" s="3" t="inlineStr">
        <is>
          <t>face</t>
        </is>
      </c>
      <c r="C41" s="9" t="n">
        <v>1.3</v>
      </c>
      <c r="D41" s="3" t="inlineStr">
        <is>
          <t>core</t>
        </is>
      </c>
      <c r="E41" s="3" t="inlineStr">
        <is>
          <t>SOC — Социальный резонанс</t>
        </is>
      </c>
      <c r="G41" s="3" t="inlineStr">
        <is>
          <t>face</t>
        </is>
      </c>
    </row>
    <row r="42">
      <c r="A42" s="3" t="inlineStr">
        <is>
          <t>SOC</t>
        </is>
      </c>
      <c r="B42" s="3" t="inlineStr">
        <is>
          <t>gaze</t>
        </is>
      </c>
      <c r="C42" s="9" t="n">
        <v>1.2</v>
      </c>
      <c r="D42" s="3" t="inlineStr">
        <is>
          <t>core</t>
        </is>
      </c>
      <c r="E42" s="3" t="inlineStr">
        <is>
          <t>SOC — Социальный резонанс</t>
        </is>
      </c>
      <c r="G42" s="3" t="inlineStr">
        <is>
          <t>gaze</t>
        </is>
      </c>
    </row>
    <row r="43">
      <c r="A43" s="3" t="inlineStr">
        <is>
          <t>SOC</t>
        </is>
      </c>
      <c r="B43" s="3" t="inlineStr">
        <is>
          <t>self_referential</t>
        </is>
      </c>
      <c r="C43" s="9" t="n">
        <v>1.3</v>
      </c>
      <c r="D43" s="3" t="inlineStr">
        <is>
          <t>core</t>
        </is>
      </c>
      <c r="E43" s="3" t="inlineStr">
        <is>
          <t>SOC — Социальный резонанс</t>
        </is>
      </c>
      <c r="G43" s="3" t="inlineStr">
        <is>
          <t>self referential</t>
        </is>
      </c>
    </row>
    <row r="44">
      <c r="A44" s="3" t="inlineStr">
        <is>
          <t>SOC</t>
        </is>
      </c>
      <c r="B44" s="3" t="inlineStr">
        <is>
          <t>empathy</t>
        </is>
      </c>
      <c r="C44" s="9" t="n">
        <v>1.1</v>
      </c>
      <c r="D44" s="3" t="inlineStr">
        <is>
          <t>core</t>
        </is>
      </c>
      <c r="E44" s="3" t="inlineStr">
        <is>
          <t>SOC — Социальный резонанс</t>
        </is>
      </c>
      <c r="G44" s="3" t="inlineStr">
        <is>
          <t>empathy</t>
        </is>
      </c>
    </row>
    <row r="45">
      <c r="A45" s="3" t="inlineStr">
        <is>
          <t>SOC</t>
        </is>
      </c>
      <c r="B45" s="3" t="inlineStr">
        <is>
          <t>social</t>
        </is>
      </c>
      <c r="C45" s="9" t="n">
        <v>0.7</v>
      </c>
      <c r="D45" s="3" t="inlineStr">
        <is>
          <t>anchor</t>
        </is>
      </c>
      <c r="E45" s="3" t="inlineStr">
        <is>
          <t>SOC — Социальный резонанс</t>
        </is>
      </c>
      <c r="G45" s="3" t="inlineStr">
        <is>
          <t>social</t>
        </is>
      </c>
    </row>
    <row r="46">
      <c r="A46" s="3" t="inlineStr">
        <is>
          <t>COG_CL</t>
        </is>
      </c>
      <c r="B46" s="3" t="inlineStr">
        <is>
          <t>language</t>
        </is>
      </c>
      <c r="C46" s="9" t="n">
        <v>1.2</v>
      </c>
      <c r="D46" s="3" t="inlineStr">
        <is>
          <t>clarity</t>
        </is>
      </c>
      <c r="E46" s="3" t="inlineStr">
        <is>
          <t>COG-CL — Ясность сообщения</t>
        </is>
      </c>
      <c r="F46" s="3" t="inlineStr">
        <is>
          <t>Высокий = хорошо</t>
        </is>
      </c>
      <c r="G46" s="3" t="inlineStr">
        <is>
          <t>language</t>
        </is>
      </c>
    </row>
    <row r="47">
      <c r="A47" s="3" t="inlineStr">
        <is>
          <t>COG_CL</t>
        </is>
      </c>
      <c r="B47" s="3" t="inlineStr">
        <is>
          <t>semantic</t>
        </is>
      </c>
      <c r="C47" s="9" t="n">
        <v>1.2</v>
      </c>
      <c r="D47" s="3" t="inlineStr">
        <is>
          <t>clarity</t>
        </is>
      </c>
      <c r="E47" s="3" t="inlineStr">
        <is>
          <t>COG-CL — Ясность сообщения</t>
        </is>
      </c>
      <c r="F47" s="3" t="inlineStr">
        <is>
          <t>Высокий = хорошо</t>
        </is>
      </c>
      <c r="G47" s="3" t="inlineStr">
        <is>
          <t>semantic</t>
        </is>
      </c>
    </row>
    <row r="48">
      <c r="A48" s="3" t="inlineStr">
        <is>
          <t>COG_CL</t>
        </is>
      </c>
      <c r="B48" s="3" t="inlineStr">
        <is>
          <t>sentence_comprehension</t>
        </is>
      </c>
      <c r="C48" s="9" t="n">
        <v>1.3</v>
      </c>
      <c r="D48" s="3" t="inlineStr">
        <is>
          <t>clarity</t>
        </is>
      </c>
      <c r="E48" s="3" t="inlineStr">
        <is>
          <t>COG-CL — Ясность сообщения</t>
        </is>
      </c>
      <c r="F48" s="3" t="inlineStr">
        <is>
          <t>Высокий = хорошо</t>
        </is>
      </c>
      <c r="G48" s="3" t="inlineStr">
        <is>
          <t>sentence comprehension</t>
        </is>
      </c>
    </row>
    <row r="49">
      <c r="A49" s="3" t="inlineStr">
        <is>
          <t>COG_CL</t>
        </is>
      </c>
      <c r="B49" s="3" t="inlineStr">
        <is>
          <t>comprehension</t>
        </is>
      </c>
      <c r="C49" s="9" t="n">
        <v>1</v>
      </c>
      <c r="D49" s="3" t="inlineStr">
        <is>
          <t>clarity</t>
        </is>
      </c>
      <c r="E49" s="3" t="inlineStr">
        <is>
          <t>COG-CL — Ясность сообщения</t>
        </is>
      </c>
      <c r="F49" s="3" t="inlineStr">
        <is>
          <t>Высокий = хорошо</t>
        </is>
      </c>
      <c r="G49" s="3" t="inlineStr">
        <is>
          <t>comprehension</t>
        </is>
      </c>
    </row>
    <row r="50">
      <c r="A50" s="3" t="inlineStr">
        <is>
          <t>COG_LD</t>
        </is>
      </c>
      <c r="B50" s="3" t="inlineStr">
        <is>
          <t>working_memory</t>
        </is>
      </c>
      <c r="C50" s="9" t="n">
        <v>1.3</v>
      </c>
      <c r="D50" s="3" t="inlineStr">
        <is>
          <t>load</t>
        </is>
      </c>
      <c r="E50" s="3" t="inlineStr">
        <is>
          <t>COG-LD — Когнитивная нагрузка</t>
        </is>
      </c>
      <c r="F50" s="3" t="inlineStr">
        <is>
          <t>Высокий = плохо</t>
        </is>
      </c>
      <c r="G50" s="3" t="inlineStr">
        <is>
          <t>working memory</t>
        </is>
      </c>
    </row>
    <row r="51">
      <c r="A51" s="3" t="inlineStr">
        <is>
          <t>COG_LD</t>
        </is>
      </c>
      <c r="B51" s="3" t="inlineStr">
        <is>
          <t>cognitive_control</t>
        </is>
      </c>
      <c r="C51" s="9" t="n">
        <v>1.1</v>
      </c>
      <c r="D51" s="3" t="inlineStr">
        <is>
          <t>load</t>
        </is>
      </c>
      <c r="E51" s="3" t="inlineStr">
        <is>
          <t>COG-LD — Когнитивная нагрузка</t>
        </is>
      </c>
      <c r="F51" s="3" t="inlineStr">
        <is>
          <t>Высокий = плохо</t>
        </is>
      </c>
      <c r="G51" s="3" t="inlineStr">
        <is>
          <t>cognitive control</t>
        </is>
      </c>
    </row>
    <row r="52">
      <c r="A52" s="3" t="inlineStr">
        <is>
          <t>COG_LD</t>
        </is>
      </c>
      <c r="B52" s="3" t="inlineStr">
        <is>
          <t>executive_function</t>
        </is>
      </c>
      <c r="C52" s="9" t="n">
        <v>1</v>
      </c>
      <c r="D52" s="3" t="inlineStr">
        <is>
          <t>load</t>
        </is>
      </c>
      <c r="E52" s="3" t="inlineStr">
        <is>
          <t>COG-LD — Когнитивная нагрузка</t>
        </is>
      </c>
      <c r="F52" s="3" t="inlineStr">
        <is>
          <t>Высокий = плохо</t>
        </is>
      </c>
      <c r="G52" s="3" t="inlineStr">
        <is>
          <t>executive function</t>
        </is>
      </c>
    </row>
    <row r="53">
      <c r="A53" s="3" t="inlineStr">
        <is>
          <t>COG_LD</t>
        </is>
      </c>
      <c r="B53" s="3" t="inlineStr">
        <is>
          <t>inhibition</t>
        </is>
      </c>
      <c r="C53" s="9" t="n">
        <v>0.9</v>
      </c>
      <c r="D53" s="3" t="inlineStr">
        <is>
          <t>load</t>
        </is>
      </c>
      <c r="E53" s="3" t="inlineStr">
        <is>
          <t>COG-LD — Когнитивная нагрузка</t>
        </is>
      </c>
      <c r="F53" s="3" t="inlineStr">
        <is>
          <t>Высокий = плохо</t>
        </is>
      </c>
      <c r="G53" s="3" t="inlineStr">
        <is>
          <t>inhibition</t>
        </is>
      </c>
    </row>
    <row r="54">
      <c r="A54" s="3" t="inlineStr">
        <is>
          <t>COG_LD</t>
        </is>
      </c>
      <c r="B54" s="3" t="inlineStr">
        <is>
          <t>task_difficulty</t>
        </is>
      </c>
      <c r="C54" s="9" t="n">
        <v>1.2</v>
      </c>
      <c r="D54" s="3" t="inlineStr">
        <is>
          <t>load</t>
        </is>
      </c>
      <c r="E54" s="3" t="inlineStr">
        <is>
          <t>COG-LD — Когнитивная нагрузка</t>
        </is>
      </c>
      <c r="F54" s="3" t="inlineStr">
        <is>
          <t>Высокий = плохо</t>
        </is>
      </c>
      <c r="G54" s="3" t="inlineStr">
        <is>
          <t>task difficulty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topLeftCell="A3" workbookViewId="0">
      <selection activeCell="B13" sqref="B13"/>
    </sheetView>
  </sheetViews>
  <sheetFormatPr baseColWidth="8" defaultRowHeight="14.5"/>
  <cols>
    <col width="18.7265625" customWidth="1" min="1" max="1"/>
    <col width="36.7265625" customWidth="1" min="2" max="2"/>
    <col width="16.7265625" customWidth="1" min="3" max="11"/>
  </cols>
  <sheetData>
    <row r="1" ht="18.5" customHeight="1">
      <c r="A1" s="6" t="inlineStr">
        <is>
          <t>4_WINDOW_AGGREGATES — Агрегаты по временным окнам (основа для отчёта)</t>
        </is>
      </c>
    </row>
    <row r="2">
      <c r="A2" s="7" t="inlineStr">
        <is>
          <t>Каждый блок = один временной тип агрегата (Hook / Brand / Offer / CTA / AUC / Peak / Finale / z-score). Значения из листа 3.</t>
        </is>
      </c>
    </row>
    <row r="3" ht="29" customHeight="1">
      <c r="A3" s="2" t="inlineStr">
        <is>
          <t>Агрегат</t>
        </is>
      </c>
      <c r="B3" s="2" t="inlineStr">
        <is>
          <t>Описание</t>
        </is>
      </c>
      <c r="C3" s="2" t="inlineStr">
        <is>
          <t>ATT
Внимание</t>
        </is>
      </c>
      <c r="D3" s="2" t="inlineStr">
        <is>
          <t>AFF-A
Интенсивность</t>
        </is>
      </c>
      <c r="E3" s="2" t="inlineStr">
        <is>
          <t>AFF-V
Негативность</t>
        </is>
      </c>
      <c r="F3" s="2" t="inlineStr">
        <is>
          <t>MEM
Запоминание</t>
        </is>
      </c>
      <c r="G3" s="2" t="inlineStr">
        <is>
          <t>REW
Ценность</t>
        </is>
      </c>
      <c r="H3" s="2" t="inlineStr">
        <is>
          <t>SOC
Социальность</t>
        </is>
      </c>
      <c r="I3" s="2" t="inlineStr">
        <is>
          <t>COG-CL
Ясность</t>
        </is>
      </c>
      <c r="J3" s="2" t="inlineStr">
        <is>
          <t>COG-LD
Нагрузка</t>
        </is>
      </c>
    </row>
    <row r="4">
      <c r="A4" s="3" t="inlineStr">
        <is>
          <t>Hook 0–3с</t>
        </is>
      </c>
      <c r="B4" s="4" t="inlineStr">
        <is>
          <t>Среднее по кадрам 1–3</t>
        </is>
      </c>
      <c r="C4" s="5">
        <f>AVERAGE('3_INDEX_SCORES'!D4:D6)</f>
        <v/>
      </c>
      <c r="D4" s="5">
        <f>AVERAGE('3_INDEX_SCORES'!E4:E6)</f>
        <v/>
      </c>
      <c r="E4" s="5">
        <f>AVERAGE('3_INDEX_SCORES'!F4:F6)</f>
        <v/>
      </c>
      <c r="F4" s="5">
        <f>AVERAGE('3_INDEX_SCORES'!G4:G6)</f>
        <v/>
      </c>
      <c r="G4" s="5">
        <f>AVERAGE('3_INDEX_SCORES'!H4:H6)</f>
        <v/>
      </c>
      <c r="H4" s="5">
        <f>AVERAGE('3_INDEX_SCORES'!I4:I6)</f>
        <v/>
      </c>
      <c r="I4" s="5">
        <f>AVERAGE('3_INDEX_SCORES'!J4:J6)</f>
        <v/>
      </c>
      <c r="J4" s="5">
        <f>AVERAGE('3_INDEX_SCORES'!K4:K6)</f>
        <v/>
      </c>
    </row>
    <row r="5">
      <c r="A5" s="3" t="inlineStr">
        <is>
          <t>Hook 0–5с</t>
        </is>
      </c>
      <c r="B5" s="4" t="inlineStr">
        <is>
          <t>Среднее по кадрам 1–5</t>
        </is>
      </c>
      <c r="C5" s="5">
        <f>AVERAGE('3_INDEX_SCORES'!D4:D8)</f>
        <v/>
      </c>
      <c r="D5" s="5">
        <f>AVERAGE('3_INDEX_SCORES'!E4:E8)</f>
        <v/>
      </c>
      <c r="E5" s="5">
        <f>AVERAGE('3_INDEX_SCORES'!F4:F8)</f>
        <v/>
      </c>
      <c r="F5" s="5">
        <f>AVERAGE('3_INDEX_SCORES'!G4:G8)</f>
        <v/>
      </c>
      <c r="G5" s="5">
        <f>AVERAGE('3_INDEX_SCORES'!H4:H8)</f>
        <v/>
      </c>
      <c r="H5" s="5">
        <f>AVERAGE('3_INDEX_SCORES'!I4:I8)</f>
        <v/>
      </c>
      <c r="I5" s="5">
        <f>AVERAGE('3_INDEX_SCORES'!J4:J8)</f>
        <v/>
      </c>
      <c r="J5" s="5">
        <f>AVERAGE('3_INDEX_SCORES'!K4:K8)</f>
        <v/>
      </c>
    </row>
    <row r="6">
      <c r="A6" s="3" t="inlineStr">
        <is>
          <t>AUC (ролик)</t>
        </is>
      </c>
      <c r="B6" s="4" t="inlineStr">
        <is>
          <t>Среднее по всем кадрам 1–20</t>
        </is>
      </c>
      <c r="C6" s="5">
        <f>AVERAGE('3_INDEX_SCORES'!D4:D23)</f>
        <v/>
      </c>
      <c r="D6" s="5">
        <f>AVERAGE('3_INDEX_SCORES'!E4:E23)</f>
        <v/>
      </c>
      <c r="E6" s="5">
        <f>AVERAGE('3_INDEX_SCORES'!F4:F23)</f>
        <v/>
      </c>
      <c r="F6" s="5">
        <f>AVERAGE('3_INDEX_SCORES'!G4:G23)</f>
        <v/>
      </c>
      <c r="G6" s="5">
        <f>AVERAGE('3_INDEX_SCORES'!H4:H23)</f>
        <v/>
      </c>
      <c r="H6" s="5">
        <f>AVERAGE('3_INDEX_SCORES'!I4:I23)</f>
        <v/>
      </c>
      <c r="I6" s="5">
        <f>AVERAGE('3_INDEX_SCORES'!J4:J23)</f>
        <v/>
      </c>
      <c r="J6" s="5">
        <f>AVERAGE('3_INDEX_SCORES'!K4:K23)</f>
        <v/>
      </c>
    </row>
    <row r="7">
      <c r="A7" s="3" t="inlineStr">
        <is>
          <t>Peak</t>
        </is>
      </c>
      <c r="B7" s="4" t="inlineStr">
        <is>
          <t>Максимальное значение по ролику</t>
        </is>
      </c>
      <c r="C7" s="5">
        <f>MAX('3_INDEX_SCORES'!D4:D23)</f>
        <v/>
      </c>
      <c r="D7" s="5">
        <f>MAX('3_INDEX_SCORES'!E4:E23)</f>
        <v/>
      </c>
      <c r="E7" s="5">
        <f>MAX('3_INDEX_SCORES'!F4:F23)</f>
        <v/>
      </c>
      <c r="F7" s="5">
        <f>MAX('3_INDEX_SCORES'!G4:G23)</f>
        <v/>
      </c>
      <c r="G7" s="5">
        <f>MAX('3_INDEX_SCORES'!H4:H23)</f>
        <v/>
      </c>
      <c r="H7" s="5">
        <f>MAX('3_INDEX_SCORES'!I4:I23)</f>
        <v/>
      </c>
      <c r="I7" s="5">
        <f>MAX('3_INDEX_SCORES'!J4:J23)</f>
        <v/>
      </c>
      <c r="J7" s="5">
        <f>MAX('3_INDEX_SCORES'!K4:K23)</f>
        <v/>
      </c>
    </row>
    <row r="8">
      <c r="A8" s="3" t="inlineStr">
        <is>
          <t>Finale 18–20с</t>
        </is>
      </c>
      <c r="B8" s="4" t="inlineStr">
        <is>
          <t>Среднее по последним 3 кадрам</t>
        </is>
      </c>
      <c r="C8" s="5">
        <f>AVERAGE('3_INDEX_SCORES'!D21:D23)</f>
        <v/>
      </c>
      <c r="D8" s="5">
        <f>AVERAGE('3_INDEX_SCORES'!E21:E23)</f>
        <v/>
      </c>
      <c r="E8" s="5">
        <f>AVERAGE('3_INDEX_SCORES'!F21:F23)</f>
        <v/>
      </c>
      <c r="F8" s="5">
        <f>AVERAGE('3_INDEX_SCORES'!G21:G23)</f>
        <v/>
      </c>
      <c r="G8" s="5">
        <f>AVERAGE('3_INDEX_SCORES'!H21:H23)</f>
        <v/>
      </c>
      <c r="H8" s="5">
        <f>AVERAGE('3_INDEX_SCORES'!I21:I23)</f>
        <v/>
      </c>
      <c r="I8" s="5">
        <f>AVERAGE('3_INDEX_SCORES'!J21:J23)</f>
        <v/>
      </c>
      <c r="J8" s="5">
        <f>AVERAGE('3_INDEX_SCORES'!K21:K23)</f>
        <v/>
      </c>
    </row>
    <row r="9">
      <c r="A9" s="3" t="inlineStr">
        <is>
          <t>BRAND window</t>
        </is>
      </c>
      <c r="B9" s="4" t="inlineStr">
        <is>
          <t>Среднее по кадрам с тегом BRAND</t>
        </is>
      </c>
      <c r="C9" s="5">
        <f>IFERROR(AVERAGEIF('2_FRAME_MARKUP'!F4:F23,1,'3_INDEX_SCORES'!D4:D23),"—")</f>
        <v/>
      </c>
      <c r="D9" s="5">
        <f>IFERROR(AVERAGEIF('2_FRAME_MARKUP'!F4:F23,1,'3_INDEX_SCORES'!E4:E23),"—")</f>
        <v/>
      </c>
      <c r="E9" s="5">
        <f>IFERROR(AVERAGEIF('2_FRAME_MARKUP'!F4:F23,1,'3_INDEX_SCORES'!F4:F23),"—")</f>
        <v/>
      </c>
      <c r="F9" s="5">
        <f>IFERROR(AVERAGEIF('2_FRAME_MARKUP'!F4:F23,1,'3_INDEX_SCORES'!G4:G23),"—")</f>
        <v/>
      </c>
      <c r="G9" s="5">
        <f>IFERROR(AVERAGEIF('2_FRAME_MARKUP'!F4:F23,1,'3_INDEX_SCORES'!H4:H23),"—")</f>
        <v/>
      </c>
      <c r="H9" s="5">
        <f>IFERROR(AVERAGEIF('2_FRAME_MARKUP'!F4:F23,1,'3_INDEX_SCORES'!I4:I23),"—")</f>
        <v/>
      </c>
      <c r="I9" s="5">
        <f>IFERROR(AVERAGEIF('2_FRAME_MARKUP'!F4:F23,1,'3_INDEX_SCORES'!J4:J23),"—")</f>
        <v/>
      </c>
      <c r="J9" s="5">
        <f>IFERROR(AVERAGEIF('2_FRAME_MARKUP'!F4:F23,1,'3_INDEX_SCORES'!K4:K23),"—")</f>
        <v/>
      </c>
    </row>
    <row r="10">
      <c r="A10" s="3" t="inlineStr">
        <is>
          <t>OFFER window</t>
        </is>
      </c>
      <c r="B10" s="4" t="inlineStr">
        <is>
          <t>Среднее по кадрам с тегом OFFER</t>
        </is>
      </c>
      <c r="C10" s="5">
        <f>IFERROR(AVERAGEIF('2_FRAME_MARKUP'!H4:H23,1,'3_INDEX_SCORES'!D4:D23),"—")</f>
        <v/>
      </c>
      <c r="D10" s="5">
        <f>IFERROR(AVERAGEIF('2_FRAME_MARKUP'!H4:H23,1,'3_INDEX_SCORES'!E4:E23),"—")</f>
        <v/>
      </c>
      <c r="E10" s="5">
        <f>IFERROR(AVERAGEIF('2_FRAME_MARKUP'!H4:H23,1,'3_INDEX_SCORES'!F4:F23),"—")</f>
        <v/>
      </c>
      <c r="F10" s="5">
        <f>IFERROR(AVERAGEIF('2_FRAME_MARKUP'!H4:H23,1,'3_INDEX_SCORES'!G4:G23),"—")</f>
        <v/>
      </c>
      <c r="G10" s="5">
        <f>IFERROR(AVERAGEIF('2_FRAME_MARKUP'!H4:H23,1,'3_INDEX_SCORES'!H4:H23),"—")</f>
        <v/>
      </c>
      <c r="H10" s="5">
        <f>IFERROR(AVERAGEIF('2_FRAME_MARKUP'!H4:H23,1,'3_INDEX_SCORES'!I4:I23),"—")</f>
        <v/>
      </c>
      <c r="I10" s="5">
        <f>IFERROR(AVERAGEIF('2_FRAME_MARKUP'!H4:H23,1,'3_INDEX_SCORES'!J4:J23),"—")</f>
        <v/>
      </c>
      <c r="J10" s="5">
        <f>IFERROR(AVERAGEIF('2_FRAME_MARKUP'!H4:H23,1,'3_INDEX_SCORES'!K4:K23),"—")</f>
        <v/>
      </c>
    </row>
    <row r="11">
      <c r="A11" s="3" t="inlineStr">
        <is>
          <t>CTA window</t>
        </is>
      </c>
      <c r="B11" s="4" t="inlineStr">
        <is>
          <t>Среднее по кадрам с тегом CTA</t>
        </is>
      </c>
      <c r="C11" s="5">
        <f>IFERROR(AVERAGEIF('2_FRAME_MARKUP'!I4:I23,1,'3_INDEX_SCORES'!D4:D23),"—")</f>
        <v/>
      </c>
      <c r="D11" s="5">
        <f>IFERROR(AVERAGEIF('2_FRAME_MARKUP'!I4:I23,1,'3_INDEX_SCORES'!E4:E23),"—")</f>
        <v/>
      </c>
      <c r="E11" s="5">
        <f>IFERROR(AVERAGEIF('2_FRAME_MARKUP'!I4:I23,1,'3_INDEX_SCORES'!F4:F23),"—")</f>
        <v/>
      </c>
      <c r="F11" s="5">
        <f>IFERROR(AVERAGEIF('2_FRAME_MARKUP'!I4:I23,1,'3_INDEX_SCORES'!G4:G23),"—")</f>
        <v/>
      </c>
      <c r="G11" s="5">
        <f>IFERROR(AVERAGEIF('2_FRAME_MARKUP'!I4:I23,1,'3_INDEX_SCORES'!H4:H23),"—")</f>
        <v/>
      </c>
      <c r="H11" s="5">
        <f>IFERROR(AVERAGEIF('2_FRAME_MARKUP'!I4:I23,1,'3_INDEX_SCORES'!I4:I23),"—")</f>
        <v/>
      </c>
      <c r="I11" s="5">
        <f>IFERROR(AVERAGEIF('2_FRAME_MARKUP'!I4:I23,1,'3_INDEX_SCORES'!J4:J23),"—")</f>
        <v/>
      </c>
      <c r="J11" s="5">
        <f>IFERROR(AVERAGEIF('2_FRAME_MARKUP'!I4:I23,1,'3_INDEX_SCORES'!K4:K23),"—")</f>
        <v/>
      </c>
    </row>
    <row r="12">
      <c r="A12" s="3" t="inlineStr">
        <is>
          <t>PRODUCT window</t>
        </is>
      </c>
      <c r="B12" s="4" t="inlineStr">
        <is>
          <t>Среднее по кадрам с тегом PRODUCT</t>
        </is>
      </c>
      <c r="C12" s="5">
        <f>IFERROR(AVERAGEIF('2_FRAME_MARKUP'!G4:G23,1,'3_INDEX_SCORES'!D4:D23),"—")</f>
        <v/>
      </c>
      <c r="D12" s="5">
        <f>IFERROR(AVERAGEIF('2_FRAME_MARKUP'!G4:G23,1,'3_INDEX_SCORES'!E4:E23),"—")</f>
        <v/>
      </c>
      <c r="E12" s="5">
        <f>IFERROR(AVERAGEIF('2_FRAME_MARKUP'!G4:G23,1,'3_INDEX_SCORES'!F4:F23),"—")</f>
        <v/>
      </c>
      <c r="F12" s="5">
        <f>IFERROR(AVERAGEIF('2_FRAME_MARKUP'!G4:G23,1,'3_INDEX_SCORES'!G4:G23),"—")</f>
        <v/>
      </c>
      <c r="G12" s="5">
        <f>IFERROR(AVERAGEIF('2_FRAME_MARKUP'!G4:G23,1,'3_INDEX_SCORES'!H4:H23),"—")</f>
        <v/>
      </c>
      <c r="H12" s="5">
        <f>IFERROR(AVERAGEIF('2_FRAME_MARKUP'!G4:G23,1,'3_INDEX_SCORES'!I4:I23),"—")</f>
        <v/>
      </c>
      <c r="I12" s="5">
        <f>IFERROR(AVERAGEIF('2_FRAME_MARKUP'!G4:G23,1,'3_INDEX_SCORES'!J4:J23),"—")</f>
        <v/>
      </c>
      <c r="J12" s="5">
        <f>IFERROR(AVERAGEIF('2_FRAME_MARKUP'!G4:G23,1,'3_INDEX_SCORES'!K4:K23),"—")</f>
        <v/>
      </c>
    </row>
    <row r="13">
      <c r="A13" s="11" t="inlineStr">
        <is>
          <t>LOGO window</t>
        </is>
      </c>
      <c r="B13" s="12" t="inlineStr">
        <is>
          <t>Среднее по кадрам с тегом LOGO</t>
        </is>
      </c>
      <c r="C13" s="5">
        <f>IFERROR(AVERAGEIF('2_FRAME_MARKUP'!J4:J23,1,'3_INDEX_SCORES'!D4:D23),"—")</f>
        <v/>
      </c>
      <c r="D13" s="5">
        <f>IFERROR(AVERAGEIF('2_FRAME_MARKUP'!J4:J23,1,'3_INDEX_SCORES'!E4:E23),"—")</f>
        <v/>
      </c>
      <c r="E13" s="5">
        <f>IFERROR(AVERAGEIF('2_FRAME_MARKUP'!J4:J23,1,'3_INDEX_SCORES'!F4:F23),"—")</f>
        <v/>
      </c>
      <c r="F13" s="5">
        <f>IFERROR(AVERAGEIF('2_FRAME_MARKUP'!J4:J23,1,'3_INDEX_SCORES'!G4:G23),"—")</f>
        <v/>
      </c>
      <c r="G13" s="5">
        <f>IFERROR(AVERAGEIF('2_FRAME_MARKUP'!J4:J23,1,'3_INDEX_SCORES'!H4:H23),"—")</f>
        <v/>
      </c>
      <c r="H13" s="5">
        <f>IFERROR(AVERAGEIF('2_FRAME_MARKUP'!J4:J23,1,'3_INDEX_SCORES'!I4:I23),"—")</f>
        <v/>
      </c>
      <c r="I13" s="5">
        <f>IFERROR(AVERAGEIF('2_FRAME_MARKUP'!J4:J23,1,'3_INDEX_SCORES'!J4:J23),"—")</f>
        <v/>
      </c>
      <c r="J13" s="5">
        <f>IFERROR(AVERAGEIF('2_FRAME_MARKUP'!J4:J23,1,'3_INDEX_SCORES'!K4:K23),"—")</f>
        <v/>
      </c>
    </row>
    <row r="14">
      <c r="A14" s="3" t="inlineStr">
        <is>
          <t>z Hook 0–3с</t>
        </is>
      </c>
      <c r="B14" s="4" t="inlineStr">
        <is>
          <t>z-score: Hook 0–3с</t>
        </is>
      </c>
      <c r="C14" s="5">
        <f>AVERAGE('3_INDEX_SCORES'!L4:L6)</f>
        <v/>
      </c>
      <c r="D14" s="5">
        <f>AVERAGE('3_INDEX_SCORES'!M4:M6)</f>
        <v/>
      </c>
      <c r="E14" s="5">
        <f>AVERAGE('3_INDEX_SCORES'!N4:N6)</f>
        <v/>
      </c>
      <c r="F14" s="5">
        <f>AVERAGE('3_INDEX_SCORES'!O4:O6)</f>
        <v/>
      </c>
      <c r="G14" s="5">
        <f>AVERAGE('3_INDEX_SCORES'!P4:P6)</f>
        <v/>
      </c>
      <c r="H14" s="5">
        <f>AVERAGE('3_INDEX_SCORES'!Q4:Q6)</f>
        <v/>
      </c>
      <c r="I14" s="5">
        <f>AVERAGE('3_INDEX_SCORES'!R4:R6)</f>
        <v/>
      </c>
      <c r="J14" s="5">
        <f>AVERAGE('3_INDEX_SCORES'!S4:S6)</f>
        <v/>
      </c>
    </row>
    <row r="15">
      <c r="A15" s="3" t="inlineStr">
        <is>
          <t>z AUC</t>
        </is>
      </c>
      <c r="B15" s="4" t="inlineStr">
        <is>
          <t>z-score: среднее по ролику</t>
        </is>
      </c>
      <c r="C15" s="5">
        <f>AVERAGE('3_INDEX_SCORES'!L4:L23)</f>
        <v/>
      </c>
      <c r="D15" s="5">
        <f>AVERAGE('3_INDEX_SCORES'!M4:M23)</f>
        <v/>
      </c>
      <c r="E15" s="5">
        <f>AVERAGE('3_INDEX_SCORES'!N4:N23)</f>
        <v/>
      </c>
      <c r="F15" s="5">
        <f>AVERAGE('3_INDEX_SCORES'!O4:O23)</f>
        <v/>
      </c>
      <c r="G15" s="5">
        <f>AVERAGE('3_INDEX_SCORES'!P4:P23)</f>
        <v/>
      </c>
      <c r="H15" s="5">
        <f>AVERAGE('3_INDEX_SCORES'!Q4:Q23)</f>
        <v/>
      </c>
      <c r="I15" s="5">
        <f>AVERAGE('3_INDEX_SCORES'!R4:R23)</f>
        <v/>
      </c>
      <c r="J15" s="5">
        <f>AVERAGE('3_INDEX_SCORES'!S4:S23)</f>
        <v/>
      </c>
    </row>
    <row r="16">
      <c r="A16" s="3" t="inlineStr">
        <is>
          <t>z BRAND</t>
        </is>
      </c>
      <c r="B16" s="4" t="inlineStr">
        <is>
          <t>z-score: Brand window</t>
        </is>
      </c>
      <c r="C16" s="5">
        <f>IFERROR(AVERAGEIF('2_FRAME_MARKUP'!F4:F23,1,'3_INDEX_SCORES'!L4:L23),"—")</f>
        <v/>
      </c>
      <c r="D16" s="5">
        <f>IFERROR(AVERAGEIF('2_FRAME_MARKUP'!F4:F23,1,'3_INDEX_SCORES'!M4:M23),"—")</f>
        <v/>
      </c>
      <c r="E16" s="5">
        <f>IFERROR(AVERAGEIF('2_FRAME_MARKUP'!F4:F23,1,'3_INDEX_SCORES'!N4:N23),"—")</f>
        <v/>
      </c>
      <c r="F16" s="5">
        <f>IFERROR(AVERAGEIF('2_FRAME_MARKUP'!F4:F23,1,'3_INDEX_SCORES'!O4:O23),"—")</f>
        <v/>
      </c>
      <c r="G16" s="5">
        <f>IFERROR(AVERAGEIF('2_FRAME_MARKUP'!F4:F23,1,'3_INDEX_SCORES'!P4:P23),"—")</f>
        <v/>
      </c>
      <c r="H16" s="5">
        <f>IFERROR(AVERAGEIF('2_FRAME_MARKUP'!F4:F23,1,'3_INDEX_SCORES'!Q4:Q23),"—")</f>
        <v/>
      </c>
      <c r="I16" s="5">
        <f>IFERROR(AVERAGEIF('2_FRAME_MARKUP'!F4:F23,1,'3_INDEX_SCORES'!R4:R23),"—")</f>
        <v/>
      </c>
      <c r="J16" s="5">
        <f>IFERROR(AVERAGEIF('2_FRAME_MARKUP'!F4:F23,1,'3_INDEX_SCORES'!S4:S23),"—")</f>
        <v/>
      </c>
    </row>
    <row r="17">
      <c r="A17" s="3" t="inlineStr">
        <is>
          <t>z OFFER</t>
        </is>
      </c>
      <c r="B17" s="4" t="inlineStr">
        <is>
          <t>z-score: Offer window</t>
        </is>
      </c>
      <c r="C17" s="5">
        <f>IFERROR(AVERAGEIF('2_FRAME_MARKUP'!H4:H23,1,'3_INDEX_SCORES'!L4:L23),"—")</f>
        <v/>
      </c>
      <c r="D17" s="5">
        <f>IFERROR(AVERAGEIF('2_FRAME_MARKUP'!H4:H23,1,'3_INDEX_SCORES'!M4:M23),"—")</f>
        <v/>
      </c>
      <c r="E17" s="5">
        <f>IFERROR(AVERAGEIF('2_FRAME_MARKUP'!H4:H23,1,'3_INDEX_SCORES'!N4:N23),"—")</f>
        <v/>
      </c>
      <c r="F17" s="5">
        <f>IFERROR(AVERAGEIF('2_FRAME_MARKUP'!H4:H23,1,'3_INDEX_SCORES'!O4:O23),"—")</f>
        <v/>
      </c>
      <c r="G17" s="5">
        <f>IFERROR(AVERAGEIF('2_FRAME_MARKUP'!H4:H23,1,'3_INDEX_SCORES'!P4:P23),"—")</f>
        <v/>
      </c>
      <c r="H17" s="5">
        <f>IFERROR(AVERAGEIF('2_FRAME_MARKUP'!H4:H23,1,'3_INDEX_SCORES'!Q4:Q23),"—")</f>
        <v/>
      </c>
      <c r="I17" s="5">
        <f>IFERROR(AVERAGEIF('2_FRAME_MARKUP'!H4:H23,1,'3_INDEX_SCORES'!R4:R23),"—")</f>
        <v/>
      </c>
      <c r="J17" s="5">
        <f>IFERROR(AVERAGEIF('2_FRAME_MARKUP'!H4:H23,1,'3_INDEX_SCORES'!S4:S23),"—")</f>
        <v/>
      </c>
    </row>
    <row r="18">
      <c r="A18" s="3" t="inlineStr">
        <is>
          <t>z Peak</t>
        </is>
      </c>
      <c r="B18" s="4" t="inlineStr">
        <is>
          <t>z-score: max по ролику</t>
        </is>
      </c>
      <c r="C18" s="5">
        <f>MAX('3_INDEX_SCORES'!L4:L23)</f>
        <v/>
      </c>
      <c r="D18" s="5">
        <f>MAX('3_INDEX_SCORES'!M4:M23)</f>
        <v/>
      </c>
      <c r="E18" s="5">
        <f>MAX('3_INDEX_SCORES'!N4:N23)</f>
        <v/>
      </c>
      <c r="F18" s="5">
        <f>MAX('3_INDEX_SCORES'!O4:O23)</f>
        <v/>
      </c>
      <c r="G18" s="5">
        <f>MAX('3_INDEX_SCORES'!P4:P23)</f>
        <v/>
      </c>
      <c r="H18" s="5">
        <f>MAX('3_INDEX_SCORES'!Q4:Q23)</f>
        <v/>
      </c>
      <c r="I18" s="5">
        <f>MAX('3_INDEX_SCORES'!R4:R23)</f>
        <v/>
      </c>
      <c r="J18" s="5">
        <f>MAX('3_INDEX_SCORES'!S4:S23)</f>
        <v/>
      </c>
    </row>
    <row r="21" ht="18.5" customHeight="1">
      <c r="A21" s="6" t="inlineStr">
        <is>
          <t>Автоматические диагностические флаги (проверить вручную)</t>
        </is>
      </c>
    </row>
    <row r="22">
      <c r="A22" s="3" t="inlineStr">
        <is>
          <t>ATT_peak ≠ Brand</t>
        </is>
      </c>
      <c r="B22" s="4" t="inlineStr">
        <is>
          <t>Пик ATT не совпадает с Brand window</t>
        </is>
      </c>
      <c r="C22" s="3">
        <f>IFERROR(IF('4_WINDOW_AGGREGATES'!C8-'4_WINDOW_AGGREGATES'!C9&gt;0.3,"🚩 Рассинхрон","OK"),"—")</f>
        <v/>
      </c>
    </row>
    <row r="23">
      <c r="A23" s="3" t="inlineStr">
        <is>
          <t>Brand window ATT</t>
        </is>
      </c>
      <c r="B23" s="4" t="inlineStr">
        <is>
          <t>ATT в Brand окне ниже AUC</t>
        </is>
      </c>
      <c r="C23" s="3">
        <f>IFERROR(IF('4_WINDOW_AGGREGATES'!C9&lt;'4_WINDOW_AGGREGATES'!C6,"⚠ Brand ниже среднего","OK"),"—")</f>
        <v/>
      </c>
    </row>
    <row r="24" ht="29" customHeight="1">
      <c r="A24" s="3" t="inlineStr">
        <is>
          <t>MEM creative vs brand</t>
        </is>
      </c>
      <c r="B24" s="4" t="inlineStr">
        <is>
          <t>Creative MEM значительно выше Brand MEM</t>
        </is>
      </c>
      <c r="C24" s="3">
        <f>IFERROR(IF('4_WINDOW_AGGREGATES'!F6-'4_WINDOW_AGGREGATES'!F9&gt;0.05,"⚠ История запомнится, бренд нет","OK"),"—")</f>
        <v/>
      </c>
    </row>
    <row r="25">
      <c r="A25" s="3" t="inlineStr">
        <is>
          <t>COG Load на оффере</t>
        </is>
      </c>
      <c r="B25" s="4" t="inlineStr">
        <is>
          <t>Load на OFFER выше Clarity на OFFER</t>
        </is>
      </c>
      <c r="C25" s="3">
        <f>IFERROR(IF('4_WINDOW_AGGREGATES'!K10&gt;'4_WINDOW_AGGREGATES'!J10,"🚩 Оффер перегружен","OK"),"—")</f>
        <v/>
      </c>
    </row>
    <row r="26">
      <c r="A26" s="3" t="inlineStr">
        <is>
          <t>REW на оффере</t>
        </is>
      </c>
      <c r="B26" s="4" t="inlineStr">
        <is>
          <t>REW_offer &lt; порога</t>
        </is>
      </c>
      <c r="C26" s="3">
        <f>IFERROR(IF('4_WINDOW_AGGREGATES'!G10&lt;0.05,"⚠ Оффер не мотивирует","OK"),"—")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Olga Shigorina (MediaDirection Group Russia)</dc:creator>
  <dcterms:created xmlns:dcterms="http://purl.org/dc/terms/" xmlns:xsi="http://www.w3.org/2001/XMLSchema-instance" xsi:type="dcterms:W3CDTF">2026-06-24T17:59:47Z</dcterms:created>
  <dcterms:modified xmlns:dcterms="http://purl.org/dc/terms/" xmlns:xsi="http://www.w3.org/2001/XMLSchema-instance" xsi:type="dcterms:W3CDTF">2026-07-07T05:12:09Z</dcterms:modified>
  <cp:lastModifiedBy>Olga Shigorina (MediaDirection Group Russia)</cp:lastModifiedBy>
</cp:coreProperties>
</file>