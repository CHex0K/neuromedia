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gorina\Desktop\Projects\AI Brain\банки масс тест\"/>
    </mc:Choice>
  </mc:AlternateContent>
  <xr:revisionPtr revIDLastSave="0" documentId="8_{A5941C08-E092-4801-A84F-0A43E650F9EF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1_RAW_CORRELATIONS" sheetId="1" r:id="rId1"/>
    <sheet name="README" sheetId="2" r:id="rId2"/>
    <sheet name="3_INDEX_SCORES" sheetId="3" r:id="rId3"/>
    <sheet name="2_FRAME_MARKUP" sheetId="4" r:id="rId4"/>
    <sheet name="5_WEIGHTS_REF" sheetId="5" r:id="rId5"/>
    <sheet name="4_WINDOW_AGGREGA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4" i="3"/>
  <c r="J17" i="6"/>
  <c r="I17" i="6"/>
  <c r="H17" i="6"/>
  <c r="G17" i="6"/>
  <c r="F17" i="6"/>
  <c r="E17" i="6"/>
  <c r="D17" i="6"/>
  <c r="C17" i="6"/>
  <c r="J16" i="6"/>
  <c r="I16" i="6"/>
  <c r="H16" i="6"/>
  <c r="G16" i="6"/>
  <c r="F16" i="6"/>
  <c r="E16" i="6"/>
  <c r="D16" i="6"/>
  <c r="C16" i="6"/>
  <c r="J13" i="6"/>
  <c r="I13" i="6"/>
  <c r="H13" i="6"/>
  <c r="G13" i="6"/>
  <c r="F13" i="6"/>
  <c r="E13" i="6"/>
  <c r="D13" i="6"/>
  <c r="C13" i="6"/>
  <c r="J12" i="6"/>
  <c r="I12" i="6"/>
  <c r="H12" i="6"/>
  <c r="G12" i="6"/>
  <c r="F12" i="6"/>
  <c r="E12" i="6"/>
  <c r="D12" i="6"/>
  <c r="C12" i="6"/>
  <c r="J11" i="6"/>
  <c r="I11" i="6"/>
  <c r="H11" i="6"/>
  <c r="G11" i="6"/>
  <c r="F11" i="6"/>
  <c r="E11" i="6"/>
  <c r="D11" i="6"/>
  <c r="C11" i="6"/>
  <c r="J10" i="6"/>
  <c r="C25" i="6" s="1"/>
  <c r="I10" i="6"/>
  <c r="H10" i="6"/>
  <c r="G10" i="6"/>
  <c r="C26" i="6" s="1"/>
  <c r="F10" i="6"/>
  <c r="E10" i="6"/>
  <c r="D10" i="6"/>
  <c r="C10" i="6"/>
  <c r="J9" i="6"/>
  <c r="I9" i="6"/>
  <c r="H9" i="6"/>
  <c r="G9" i="6"/>
  <c r="F9" i="6"/>
  <c r="E9" i="6"/>
  <c r="D9" i="6"/>
  <c r="C9" i="6"/>
  <c r="I8" i="6"/>
  <c r="D8" i="6"/>
  <c r="D7" i="6"/>
  <c r="D5" i="6"/>
  <c r="D4" i="6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K23" i="3"/>
  <c r="S23" i="3" s="1"/>
  <c r="J23" i="3"/>
  <c r="R23" i="3" s="1"/>
  <c r="I23" i="3"/>
  <c r="Q23" i="3" s="1"/>
  <c r="H23" i="3"/>
  <c r="P23" i="3" s="1"/>
  <c r="G23" i="3"/>
  <c r="O23" i="3" s="1"/>
  <c r="F23" i="3"/>
  <c r="E8" i="6" s="1"/>
  <c r="E23" i="3"/>
  <c r="M23" i="3" s="1"/>
  <c r="D23" i="3"/>
  <c r="L23" i="3" s="1"/>
  <c r="B23" i="3"/>
  <c r="A23" i="3"/>
  <c r="K22" i="3"/>
  <c r="S22" i="3" s="1"/>
  <c r="J22" i="3"/>
  <c r="R22" i="3" s="1"/>
  <c r="I22" i="3"/>
  <c r="Q22" i="3" s="1"/>
  <c r="H22" i="3"/>
  <c r="P22" i="3" s="1"/>
  <c r="G22" i="3"/>
  <c r="O22" i="3" s="1"/>
  <c r="F22" i="3"/>
  <c r="N22" i="3" s="1"/>
  <c r="E22" i="3"/>
  <c r="M22" i="3" s="1"/>
  <c r="D22" i="3"/>
  <c r="L22" i="3" s="1"/>
  <c r="B22" i="3"/>
  <c r="A22" i="3"/>
  <c r="K21" i="3"/>
  <c r="J8" i="6" s="1"/>
  <c r="J21" i="3"/>
  <c r="R21" i="3" s="1"/>
  <c r="I21" i="3"/>
  <c r="Q21" i="3" s="1"/>
  <c r="H21" i="3"/>
  <c r="G8" i="6" s="1"/>
  <c r="G21" i="3"/>
  <c r="F8" i="6" s="1"/>
  <c r="F21" i="3"/>
  <c r="N21" i="3" s="1"/>
  <c r="E21" i="3"/>
  <c r="M21" i="3" s="1"/>
  <c r="D21" i="3"/>
  <c r="C8" i="6" s="1"/>
  <c r="C22" i="6" s="1"/>
  <c r="B21" i="3"/>
  <c r="A21" i="3"/>
  <c r="K20" i="3"/>
  <c r="S20" i="3" s="1"/>
  <c r="J20" i="3"/>
  <c r="R20" i="3" s="1"/>
  <c r="I20" i="3"/>
  <c r="Q20" i="3" s="1"/>
  <c r="H20" i="3"/>
  <c r="P20" i="3" s="1"/>
  <c r="G20" i="3"/>
  <c r="F20" i="3"/>
  <c r="N20" i="3" s="1"/>
  <c r="E20" i="3"/>
  <c r="M20" i="3" s="1"/>
  <c r="D20" i="3"/>
  <c r="L20" i="3" s="1"/>
  <c r="B20" i="3"/>
  <c r="A20" i="3"/>
  <c r="K19" i="3"/>
  <c r="S19" i="3" s="1"/>
  <c r="J19" i="3"/>
  <c r="R19" i="3" s="1"/>
  <c r="I19" i="3"/>
  <c r="Q19" i="3" s="1"/>
  <c r="H19" i="3"/>
  <c r="P19" i="3" s="1"/>
  <c r="G19" i="3"/>
  <c r="O19" i="3" s="1"/>
  <c r="F19" i="3"/>
  <c r="N19" i="3" s="1"/>
  <c r="E19" i="3"/>
  <c r="M19" i="3" s="1"/>
  <c r="D19" i="3"/>
  <c r="L19" i="3" s="1"/>
  <c r="B19" i="3"/>
  <c r="A19" i="3"/>
  <c r="K18" i="3"/>
  <c r="S18" i="3" s="1"/>
  <c r="J18" i="3"/>
  <c r="R18" i="3" s="1"/>
  <c r="I18" i="3"/>
  <c r="Q18" i="3" s="1"/>
  <c r="H18" i="3"/>
  <c r="P18" i="3" s="1"/>
  <c r="G18" i="3"/>
  <c r="O18" i="3" s="1"/>
  <c r="F18" i="3"/>
  <c r="N18" i="3" s="1"/>
  <c r="E18" i="3"/>
  <c r="M18" i="3" s="1"/>
  <c r="D18" i="3"/>
  <c r="L18" i="3" s="1"/>
  <c r="B18" i="3"/>
  <c r="A18" i="3"/>
  <c r="K17" i="3"/>
  <c r="S17" i="3" s="1"/>
  <c r="J17" i="3"/>
  <c r="R17" i="3" s="1"/>
  <c r="I17" i="3"/>
  <c r="Q17" i="3" s="1"/>
  <c r="H17" i="3"/>
  <c r="P17" i="3" s="1"/>
  <c r="G17" i="3"/>
  <c r="O17" i="3" s="1"/>
  <c r="F17" i="3"/>
  <c r="N17" i="3" s="1"/>
  <c r="E17" i="3"/>
  <c r="M17" i="3" s="1"/>
  <c r="D17" i="3"/>
  <c r="L17" i="3" s="1"/>
  <c r="B17" i="3"/>
  <c r="A17" i="3"/>
  <c r="K16" i="3"/>
  <c r="S16" i="3" s="1"/>
  <c r="J16" i="3"/>
  <c r="R16" i="3" s="1"/>
  <c r="I16" i="3"/>
  <c r="Q16" i="3" s="1"/>
  <c r="H16" i="3"/>
  <c r="P16" i="3" s="1"/>
  <c r="G16" i="3"/>
  <c r="O16" i="3" s="1"/>
  <c r="F16" i="3"/>
  <c r="N16" i="3" s="1"/>
  <c r="E16" i="3"/>
  <c r="M16" i="3" s="1"/>
  <c r="D16" i="3"/>
  <c r="L16" i="3" s="1"/>
  <c r="B16" i="3"/>
  <c r="A16" i="3"/>
  <c r="K15" i="3"/>
  <c r="S15" i="3" s="1"/>
  <c r="J15" i="3"/>
  <c r="R15" i="3" s="1"/>
  <c r="I15" i="3"/>
  <c r="Q15" i="3" s="1"/>
  <c r="H15" i="3"/>
  <c r="P15" i="3" s="1"/>
  <c r="G15" i="3"/>
  <c r="O15" i="3" s="1"/>
  <c r="F15" i="3"/>
  <c r="N15" i="3" s="1"/>
  <c r="E15" i="3"/>
  <c r="M15" i="3" s="1"/>
  <c r="D15" i="3"/>
  <c r="L15" i="3" s="1"/>
  <c r="B15" i="3"/>
  <c r="A15" i="3"/>
  <c r="K14" i="3"/>
  <c r="S14" i="3" s="1"/>
  <c r="J14" i="3"/>
  <c r="R14" i="3" s="1"/>
  <c r="I14" i="3"/>
  <c r="Q14" i="3" s="1"/>
  <c r="H14" i="3"/>
  <c r="P14" i="3" s="1"/>
  <c r="G14" i="3"/>
  <c r="O14" i="3" s="1"/>
  <c r="F14" i="3"/>
  <c r="N14" i="3" s="1"/>
  <c r="E14" i="3"/>
  <c r="M14" i="3" s="1"/>
  <c r="D14" i="3"/>
  <c r="L14" i="3" s="1"/>
  <c r="B14" i="3"/>
  <c r="A14" i="3"/>
  <c r="K13" i="3"/>
  <c r="S13" i="3" s="1"/>
  <c r="J13" i="3"/>
  <c r="R13" i="3" s="1"/>
  <c r="I13" i="3"/>
  <c r="Q13" i="3" s="1"/>
  <c r="H13" i="3"/>
  <c r="P13" i="3" s="1"/>
  <c r="G13" i="3"/>
  <c r="O13" i="3" s="1"/>
  <c r="F13" i="3"/>
  <c r="N13" i="3" s="1"/>
  <c r="E13" i="3"/>
  <c r="M13" i="3" s="1"/>
  <c r="D13" i="3"/>
  <c r="L13" i="3" s="1"/>
  <c r="B13" i="3"/>
  <c r="A13" i="3"/>
  <c r="K12" i="3"/>
  <c r="S12" i="3" s="1"/>
  <c r="J12" i="3"/>
  <c r="R12" i="3" s="1"/>
  <c r="I12" i="3"/>
  <c r="Q12" i="3" s="1"/>
  <c r="H12" i="3"/>
  <c r="P12" i="3" s="1"/>
  <c r="G12" i="3"/>
  <c r="O12" i="3" s="1"/>
  <c r="F12" i="3"/>
  <c r="N12" i="3" s="1"/>
  <c r="E12" i="3"/>
  <c r="M12" i="3" s="1"/>
  <c r="D12" i="3"/>
  <c r="L12" i="3" s="1"/>
  <c r="B12" i="3"/>
  <c r="A12" i="3"/>
  <c r="K11" i="3"/>
  <c r="S11" i="3" s="1"/>
  <c r="J11" i="3"/>
  <c r="R11" i="3" s="1"/>
  <c r="I11" i="3"/>
  <c r="Q11" i="3" s="1"/>
  <c r="H11" i="3"/>
  <c r="P11" i="3" s="1"/>
  <c r="G11" i="3"/>
  <c r="O11" i="3" s="1"/>
  <c r="F11" i="3"/>
  <c r="N11" i="3" s="1"/>
  <c r="E11" i="3"/>
  <c r="M11" i="3" s="1"/>
  <c r="D11" i="3"/>
  <c r="L11" i="3" s="1"/>
  <c r="B11" i="3"/>
  <c r="A11" i="3"/>
  <c r="K10" i="3"/>
  <c r="S10" i="3" s="1"/>
  <c r="J10" i="3"/>
  <c r="R10" i="3" s="1"/>
  <c r="I10" i="3"/>
  <c r="Q10" i="3" s="1"/>
  <c r="H10" i="3"/>
  <c r="P10" i="3" s="1"/>
  <c r="G10" i="3"/>
  <c r="O10" i="3" s="1"/>
  <c r="F10" i="3"/>
  <c r="N10" i="3" s="1"/>
  <c r="E10" i="3"/>
  <c r="M10" i="3" s="1"/>
  <c r="D10" i="3"/>
  <c r="L10" i="3" s="1"/>
  <c r="B10" i="3"/>
  <c r="A10" i="3"/>
  <c r="K9" i="3"/>
  <c r="S9" i="3" s="1"/>
  <c r="J9" i="3"/>
  <c r="R9" i="3" s="1"/>
  <c r="I9" i="3"/>
  <c r="Q9" i="3" s="1"/>
  <c r="H9" i="3"/>
  <c r="P9" i="3" s="1"/>
  <c r="G9" i="3"/>
  <c r="O9" i="3" s="1"/>
  <c r="F9" i="3"/>
  <c r="N9" i="3" s="1"/>
  <c r="E9" i="3"/>
  <c r="M9" i="3" s="1"/>
  <c r="D9" i="3"/>
  <c r="L9" i="3" s="1"/>
  <c r="B9" i="3"/>
  <c r="A9" i="3"/>
  <c r="K8" i="3"/>
  <c r="S8" i="3" s="1"/>
  <c r="J8" i="3"/>
  <c r="R8" i="3" s="1"/>
  <c r="I8" i="3"/>
  <c r="Q8" i="3" s="1"/>
  <c r="H8" i="3"/>
  <c r="P8" i="3" s="1"/>
  <c r="G8" i="3"/>
  <c r="O8" i="3" s="1"/>
  <c r="F8" i="3"/>
  <c r="N8" i="3" s="1"/>
  <c r="E8" i="3"/>
  <c r="M8" i="3" s="1"/>
  <c r="D8" i="3"/>
  <c r="L8" i="3" s="1"/>
  <c r="B8" i="3"/>
  <c r="A8" i="3"/>
  <c r="K7" i="3"/>
  <c r="S7" i="3" s="1"/>
  <c r="J7" i="3"/>
  <c r="R7" i="3" s="1"/>
  <c r="I7" i="3"/>
  <c r="Q7" i="3" s="1"/>
  <c r="H7" i="3"/>
  <c r="P7" i="3" s="1"/>
  <c r="G7" i="3"/>
  <c r="O7" i="3" s="1"/>
  <c r="F7" i="3"/>
  <c r="N7" i="3" s="1"/>
  <c r="E7" i="3"/>
  <c r="M7" i="3" s="1"/>
  <c r="D7" i="3"/>
  <c r="L7" i="3" s="1"/>
  <c r="B7" i="3"/>
  <c r="A7" i="3"/>
  <c r="K6" i="3"/>
  <c r="S6" i="3" s="1"/>
  <c r="J6" i="3"/>
  <c r="R6" i="3" s="1"/>
  <c r="I6" i="3"/>
  <c r="Q6" i="3" s="1"/>
  <c r="H6" i="3"/>
  <c r="P6" i="3" s="1"/>
  <c r="G6" i="3"/>
  <c r="O6" i="3" s="1"/>
  <c r="F6" i="3"/>
  <c r="N6" i="3" s="1"/>
  <c r="E6" i="3"/>
  <c r="M6" i="3" s="1"/>
  <c r="D6" i="3"/>
  <c r="L6" i="3" s="1"/>
  <c r="B6" i="3"/>
  <c r="A6" i="3"/>
  <c r="K5" i="3"/>
  <c r="S5" i="3" s="1"/>
  <c r="J5" i="3"/>
  <c r="R5" i="3" s="1"/>
  <c r="I5" i="3"/>
  <c r="Q5" i="3" s="1"/>
  <c r="H5" i="3"/>
  <c r="P5" i="3" s="1"/>
  <c r="G5" i="3"/>
  <c r="O5" i="3" s="1"/>
  <c r="F5" i="3"/>
  <c r="N5" i="3" s="1"/>
  <c r="E5" i="3"/>
  <c r="M5" i="3" s="1"/>
  <c r="D5" i="3"/>
  <c r="L5" i="3" s="1"/>
  <c r="B5" i="3"/>
  <c r="A5" i="3"/>
  <c r="K4" i="3"/>
  <c r="S4" i="3" s="1"/>
  <c r="J4" i="3"/>
  <c r="R4" i="3" s="1"/>
  <c r="I4" i="3"/>
  <c r="Q4" i="3" s="1"/>
  <c r="H4" i="3"/>
  <c r="G7" i="6" s="1"/>
  <c r="G4" i="3"/>
  <c r="F7" i="6" s="1"/>
  <c r="F4" i="3"/>
  <c r="E7" i="6" s="1"/>
  <c r="E4" i="3"/>
  <c r="M4" i="3" s="1"/>
  <c r="D4" i="3"/>
  <c r="L4" i="3" s="1"/>
  <c r="B4" i="3"/>
  <c r="A4" i="3"/>
  <c r="H18" i="6" l="1"/>
  <c r="H15" i="6"/>
  <c r="H14" i="6"/>
  <c r="J14" i="6"/>
  <c r="I18" i="6"/>
  <c r="I15" i="6"/>
  <c r="I14" i="6"/>
  <c r="C15" i="6"/>
  <c r="C14" i="6"/>
  <c r="D15" i="6"/>
  <c r="D18" i="6"/>
  <c r="D14" i="6"/>
  <c r="D6" i="6"/>
  <c r="N4" i="3"/>
  <c r="S21" i="3"/>
  <c r="J18" i="6" s="1"/>
  <c r="H4" i="6"/>
  <c r="H5" i="6"/>
  <c r="H6" i="6"/>
  <c r="H7" i="6"/>
  <c r="H8" i="6"/>
  <c r="O21" i="3"/>
  <c r="L21" i="3"/>
  <c r="C18" i="6" s="1"/>
  <c r="N23" i="3"/>
  <c r="I4" i="6"/>
  <c r="I5" i="6"/>
  <c r="I6" i="6"/>
  <c r="I7" i="6"/>
  <c r="O4" i="3"/>
  <c r="O20" i="3"/>
  <c r="P4" i="3"/>
  <c r="J4" i="6"/>
  <c r="J5" i="6"/>
  <c r="J6" i="6"/>
  <c r="J7" i="6"/>
  <c r="C4" i="6"/>
  <c r="C5" i="6"/>
  <c r="C6" i="6"/>
  <c r="C23" i="6" s="1"/>
  <c r="C7" i="6"/>
  <c r="P21" i="3"/>
  <c r="E4" i="6"/>
  <c r="E5" i="6"/>
  <c r="E6" i="6"/>
  <c r="F4" i="6"/>
  <c r="F5" i="6"/>
  <c r="F6" i="6"/>
  <c r="C24" i="6" s="1"/>
  <c r="G4" i="6"/>
  <c r="G5" i="6"/>
  <c r="G6" i="6"/>
  <c r="F18" i="6" l="1"/>
  <c r="F15" i="6"/>
  <c r="F14" i="6"/>
  <c r="J15" i="6"/>
  <c r="G18" i="6"/>
  <c r="G15" i="6"/>
  <c r="G14" i="6"/>
  <c r="E18" i="6"/>
  <c r="E15" i="6"/>
  <c r="E14" i="6"/>
</calcChain>
</file>

<file path=xl/sharedStrings.xml><?xml version="1.0" encoding="utf-8"?>
<sst xmlns="http://schemas.openxmlformats.org/spreadsheetml/2006/main" count="571" uniqueCount="265">
  <si>
    <t>frame_id</t>
  </si>
  <si>
    <t>second</t>
  </si>
  <si>
    <t>scene_description</t>
  </si>
  <si>
    <t>frame_image</t>
  </si>
  <si>
    <t>ATT</t>
  </si>
  <si>
    <t>AFF_A</t>
  </si>
  <si>
    <t>AFF_V</t>
  </si>
  <si>
    <t>MEM</t>
  </si>
  <si>
    <t>REW</t>
  </si>
  <si>
    <t>SOC</t>
  </si>
  <si>
    <t>COG_CL</t>
  </si>
  <si>
    <t>COG_LD</t>
  </si>
  <si>
    <t>attention</t>
  </si>
  <si>
    <t>visual_attention</t>
  </si>
  <si>
    <t>attentional</t>
  </si>
  <si>
    <t>orienting</t>
  </si>
  <si>
    <t>target_detection</t>
  </si>
  <si>
    <t>salience</t>
  </si>
  <si>
    <t>visual_stimuli</t>
  </si>
  <si>
    <t>distractor</t>
  </si>
  <si>
    <t>arousal</t>
  </si>
  <si>
    <t>affective</t>
  </si>
  <si>
    <t>emotional</t>
  </si>
  <si>
    <t>emotional_stimuli</t>
  </si>
  <si>
    <t>emotional_responses</t>
  </si>
  <si>
    <t>valence</t>
  </si>
  <si>
    <t>negative_affect</t>
  </si>
  <si>
    <t>disgust</t>
  </si>
  <si>
    <t>fear</t>
  </si>
  <si>
    <t>anxiety</t>
  </si>
  <si>
    <t>encoding</t>
  </si>
  <si>
    <t>subsequent_memory</t>
  </si>
  <si>
    <t>episodic_memory</t>
  </si>
  <si>
    <t>semantic_memory</t>
  </si>
  <si>
    <t>recall</t>
  </si>
  <si>
    <t>recognition</t>
  </si>
  <si>
    <t>familiarity</t>
  </si>
  <si>
    <t>reward</t>
  </si>
  <si>
    <t>reward_anticipation</t>
  </si>
  <si>
    <t>motivation</t>
  </si>
  <si>
    <t>value</t>
  </si>
  <si>
    <t>incentive</t>
  </si>
  <si>
    <t>preference</t>
  </si>
  <si>
    <t>approach</t>
  </si>
  <si>
    <t>monetary_reward</t>
  </si>
  <si>
    <t>craving</t>
  </si>
  <si>
    <t>social_cognition</t>
  </si>
  <si>
    <t>mentalizing</t>
  </si>
  <si>
    <t>theory_mind</t>
  </si>
  <si>
    <t>face</t>
  </si>
  <si>
    <t>gaze</t>
  </si>
  <si>
    <t>self_referential</t>
  </si>
  <si>
    <t>empathy</t>
  </si>
  <si>
    <t>social</t>
  </si>
  <si>
    <t>language</t>
  </si>
  <si>
    <t>semantic</t>
  </si>
  <si>
    <t>sentence_comprehension</t>
  </si>
  <si>
    <t>comprehension</t>
  </si>
  <si>
    <t>working_memory</t>
  </si>
  <si>
    <t>cognitive_control</t>
  </si>
  <si>
    <t>executive_function</t>
  </si>
  <si>
    <t>inhibition</t>
  </si>
  <si>
    <t>task_difficulty</t>
  </si>
  <si>
    <t>F01</t>
  </si>
  <si>
    <t>Who</t>
  </si>
  <si>
    <t>F02</t>
  </si>
  <si>
    <t>Who could have thought,</t>
  </si>
  <si>
    <t>F03</t>
  </si>
  <si>
    <t>thought, that the future would be</t>
  </si>
  <si>
    <t>F04</t>
  </si>
  <si>
    <t>would be exactly like this?</t>
  </si>
  <si>
    <t>F05</t>
  </si>
  <si>
    <t>like this? Concise,</t>
  </si>
  <si>
    <t>F06</t>
  </si>
  <si>
    <t>Concise,</t>
  </si>
  <si>
    <t>F07</t>
  </si>
  <si>
    <t>perfect,</t>
  </si>
  <si>
    <t>F08</t>
  </si>
  <si>
    <t>perfect, that design</t>
  </si>
  <si>
    <t>F09</t>
  </si>
  <si>
    <t>design would define</t>
  </si>
  <si>
    <t>F10</t>
  </si>
  <si>
    <t>define functionality,</t>
  </si>
  <si>
    <t>F11</t>
  </si>
  <si>
    <t>functionality, and technology</t>
  </si>
  <si>
    <t>F12</t>
  </si>
  <si>
    <t>technology would become an element</t>
  </si>
  <si>
    <t>F13</t>
  </si>
  <si>
    <t>an element of style.</t>
  </si>
  <si>
    <t>F14</t>
  </si>
  <si>
    <t>of style. Only those,</t>
  </si>
  <si>
    <t>F15</t>
  </si>
  <si>
    <t>those, who create it.</t>
  </si>
  <si>
    <t>F16</t>
  </si>
  <si>
    <t>it. Omoda</t>
  </si>
  <si>
    <t>F17</t>
  </si>
  <si>
    <t>Omoda C7</t>
  </si>
  <si>
    <t>F18</t>
  </si>
  <si>
    <t>C7 from the creators</t>
  </si>
  <si>
    <t>F19</t>
  </si>
  <si>
    <t>the creators of the future.</t>
  </si>
  <si>
    <t>F20</t>
  </si>
  <si>
    <t>of the future.</t>
  </si>
  <si>
    <t>NCD · Neurosemantic Creative Diagnostics — Структура файла</t>
  </si>
  <si>
    <t>ЛИСТ</t>
  </si>
  <si>
    <t>СОДЕРЖАНИЕ</t>
  </si>
  <si>
    <t>КОМУ</t>
  </si>
  <si>
    <t>1_RAW_CORRELATIONS</t>
  </si>
  <si>
    <t>Сырые Pearson r по каждому терму Neurosynth для каждого кадра. Сюда аналитик вставляет данные из TRIBE.</t>
  </si>
  <si>
    <t>Аналитик — заполняет</t>
  </si>
  <si>
    <t>2_FRAME_MARKUP</t>
  </si>
  <si>
    <t>Разметка кадров: какой тег (BRAND/OFFER/CTA/FACE/PRODUCT/HOOK) присвоен каждому кадру. Заполняется вручную перед анализом.</t>
  </si>
  <si>
    <t>Аналитик — заполняет вручную</t>
  </si>
  <si>
    <t>3_INDEX_SCORES</t>
  </si>
  <si>
    <t>Расчёт индексов по кадрам: взвешенные r, trimmed mean, штрафы. Формулы автоматически тянут данные из листов 1 и 2.</t>
  </si>
  <si>
    <t>Формулы — не редактировать</t>
  </si>
  <si>
    <t>4_WINDOW_AGGREGATES</t>
  </si>
  <si>
    <t>Агрегаты по временным окнам: Hook, Brand, Offer, CTA, AUC, Peak, Finale. Основа для отчёта.</t>
  </si>
  <si>
    <t>Формулы — читать и интерпретировать</t>
  </si>
  <si>
    <t>5_WEIGHTS_REF</t>
  </si>
  <si>
    <t>Справочник весов: какой терм входит в какой индекс с каким весом. Аналитик может корректировать веса здесь — формулы в листе 3 тянут отсюда.</t>
  </si>
  <si>
    <t>Аналитик — может менять веса</t>
  </si>
  <si>
    <t>Пайплайн: как данные движутся между листами</t>
  </si>
  <si>
    <t>TRIBE + Neurosynth → Pearson r по термам → [1_RAW_CORRELATIONS]  +  разметка кадров → [2_FRAME_MARKUP]  →  расчёт индексов → [3_INDEX_SCORES]  →  агрегаты по окнам → [4_WINDOW_AGGREGATES]  →  отчёт / дашборд</t>
  </si>
  <si>
    <t>Ключевые правила заполнения</t>
  </si>
  <si>
    <t>1.  Лист 1 (RAW): один кадр = одна строка. Секунда заполняется как число (1, 2, 3...). r-значения — числа от -1 до +1.</t>
  </si>
  <si>
    <t>3.  Лист 3 (INDEX_SCORES): не редактировать вручную. Только формулы. При добавлении новых кадров — протянуть формулы вниз.</t>
  </si>
  <si>
    <t>4.  Лист 5 (WEIGHTS): единственное место, где можно менять веса. После изменения пересчитать лист 3.</t>
  </si>
  <si>
    <t>5.  Нормировка: z-score считается в листе 4. Phase 1 = z-score внутри ролика. При накоплении базы — переходить к перцентилям.</t>
  </si>
  <si>
    <t>⚠ Финальный состав индексов v1.3</t>
  </si>
  <si>
    <t>Изменения v1.3 (последняя итерация):
• AFF-A: терм 'emotion' заменён на 'emotional_stimuli' + 'emotional_responses' (вес 0.6 каждый) — более специфичные термы из финальной библиотеки
• AFF-V: 'emotional_valence' НЕ добавлен (избыточен относительно 'valence'). Субиндекс = valence (якорь, вес 1.0) минус штрафы (negative_affect 1.2, disgust 1.5, fear 0.6, anxiety 0.5)
ВАЖНО — интерпретация AFF-V: association map терма 'valence' не кодирует знак направления (позитив/негатив) сам по себе — она показывает только то, что валентность как конструкт обрабатывается. Реальный сигнал о знаке дают штрафные термы. Поэтому AFF-V — это ИНДЕКС НЕГАТИВНОЙ ОКРАСКИ, а не симметричная шкала позитив↔негатив. Высокое значение = низкий уровень негативных паттернов (не значит 'позитивно'). Низкое/отрицательное = присутствуют негативные паттерны.</t>
  </si>
  <si>
    <t>Полные названия индексов (v1.3)</t>
  </si>
  <si>
    <t>ATT — Внимание и захват взгляда</t>
  </si>
  <si>
    <t>Привлекает ли кадр взгляд, активируется ли рефлекторная и управляемая ориентировка</t>
  </si>
  <si>
    <t>AFF-A</t>
  </si>
  <si>
    <t>AFF-A — Эмоциональная интенсивность (Arousal)</t>
  </si>
  <si>
    <t>Насколько сильно кадр активирует аффективную систему — без учёта знака</t>
  </si>
  <si>
    <t>AFF-V</t>
  </si>
  <si>
    <t>AFF-V — Негативная эмоциональная окраска</t>
  </si>
  <si>
    <t>Присутствуют ли в кадре паттерны негативного аффекта (страх, отвращение, тревога)</t>
  </si>
  <si>
    <t>MEM — Потенциал запоминания</t>
  </si>
  <si>
    <t>Насколько кадр похож на паттерны кодирования и последующего воспроизведения в памяти</t>
  </si>
  <si>
    <t>REW — Воспринимаемая ценность и мотивация</t>
  </si>
  <si>
    <t>Выглядит ли продукт/оффер ценным, желанным, мотивирующим к действию</t>
  </si>
  <si>
    <t>SOC — Социальный резонанс</t>
  </si>
  <si>
    <t>Активируется ли «социальный мозг»: лица, эмпатия, самоидентификация</t>
  </si>
  <si>
    <t>COG-CL</t>
  </si>
  <si>
    <t>COG-CL — Ясность сообщения</t>
  </si>
  <si>
    <t>Насколько легко обрабатывается смысл вербального/нарративного сообщения (выше = понятнее)</t>
  </si>
  <si>
    <t>COG-LD</t>
  </si>
  <si>
    <t>COG-LD — Когнитивная нагрузка</t>
  </si>
  <si>
    <t>Требует ли кадр повышенных управляющих усилий мозга (выше = тяжелее воспринимается)</t>
  </si>
  <si>
    <t>3_INDEX_SCORES — Расчёт индексов по кадрам (формулы — не редактировать)</t>
  </si>
  <si>
    <t>Каждая строка = один кадр. Индексы считаются как AVERAGE взвешенных r по ядровым термам минус штрафы. z-score считается на фактическом количестве кадров.</t>
  </si>
  <si>
    <t>tags</t>
  </si>
  <si>
    <t>ATT
Внимание</t>
  </si>
  <si>
    <t>AFF-A
Интенсивность</t>
  </si>
  <si>
    <t>AFF-V
Негативность</t>
  </si>
  <si>
    <t>MEM
Запоминание</t>
  </si>
  <si>
    <t>REW
Ценность</t>
  </si>
  <si>
    <t>SOC
Социальность</t>
  </si>
  <si>
    <t>COG-CL
Ясность</t>
  </si>
  <si>
    <t>COG-LD
Нагрузка</t>
  </si>
  <si>
    <t>z_ATT</t>
  </si>
  <si>
    <t>z_AFF_A</t>
  </si>
  <si>
    <t>z_AFF_V</t>
  </si>
  <si>
    <t>z_MEM</t>
  </si>
  <si>
    <t>z_REW</t>
  </si>
  <si>
    <t>z_SOC</t>
  </si>
  <si>
    <t>z_COG_CL</t>
  </si>
  <si>
    <t>z_COG_LD</t>
  </si>
  <si>
    <t>2_FRAME_MARKUP — Разметка кадров (заполняется вручную перед анализом)</t>
  </si>
  <si>
    <t>Правило: каждый тег — отдельный столбец (1/0). 1 = тег присвоен, 0 = нет. frame_id и second тянутся из листа 1.</t>
  </si>
  <si>
    <t>HOOK</t>
  </si>
  <si>
    <t>BRAND</t>
  </si>
  <si>
    <t>PRODUCT</t>
  </si>
  <si>
    <t>OFFER</t>
  </si>
  <si>
    <t>CTA</t>
  </si>
  <si>
    <t>5_WEIGHTS_REF — Справочник весов (можно редактировать)</t>
  </si>
  <si>
    <t>Веса — экспертная эвристика v1. Синим выделены ячейки весов — их можно менять. После изменения пересчитать лист 3. Отрицательные веса означают штраф (penalty/load).</t>
  </si>
  <si>
    <t>index_id</t>
  </si>
  <si>
    <t>term</t>
  </si>
  <si>
    <t>weight</t>
  </si>
  <si>
    <t>role</t>
  </si>
  <si>
    <t>index_name</t>
  </si>
  <si>
    <t>note</t>
  </si>
  <si>
    <t>neurosynth_query</t>
  </si>
  <si>
    <t>anchor</t>
  </si>
  <si>
    <t>core</t>
  </si>
  <si>
    <t>visual attention</t>
  </si>
  <si>
    <t>target detection</t>
  </si>
  <si>
    <t>support</t>
  </si>
  <si>
    <t>visual stimuli</t>
  </si>
  <si>
    <t>penalty</t>
  </si>
  <si>
    <t>Вычитается как штраф</t>
  </si>
  <si>
    <t>Новый терм v1.3 — заменяет 'emotion' для большей специфичности</t>
  </si>
  <si>
    <t>emotional stimuli</t>
  </si>
  <si>
    <t>emotional responses</t>
  </si>
  <si>
    <t>negative affect</t>
  </si>
  <si>
    <t>subsequent memory</t>
  </si>
  <si>
    <t>episodic memory</t>
  </si>
  <si>
    <t>semantic memory</t>
  </si>
  <si>
    <t>reward anticipation</t>
  </si>
  <si>
    <t>spec</t>
  </si>
  <si>
    <t>monetary reward</t>
  </si>
  <si>
    <t>social cognition</t>
  </si>
  <si>
    <t>Заменён с 'theory_of_mind' — в Neurosynth закодирован без 'of': 'theory mind'</t>
  </si>
  <si>
    <t>theory mind</t>
  </si>
  <si>
    <t>self referential</t>
  </si>
  <si>
    <t>clarity</t>
  </si>
  <si>
    <t>Высокий = хорошо</t>
  </si>
  <si>
    <t>sentence comprehension</t>
  </si>
  <si>
    <t>load</t>
  </si>
  <si>
    <t>Высокий = плохо</t>
  </si>
  <si>
    <t>working memory</t>
  </si>
  <si>
    <t>cognitive control</t>
  </si>
  <si>
    <t>executive function</t>
  </si>
  <si>
    <t>task difficulty</t>
  </si>
  <si>
    <t>4_WINDOW_AGGREGATES — Агрегаты по временным окнам (основа для отчёта)</t>
  </si>
  <si>
    <t>Каждый блок = один временной тип агрегата (Hook / Brand / Offer / CTA / AUC / Peak / Finale / z-score). Значения из листа 3.</t>
  </si>
  <si>
    <t>Агрегат</t>
  </si>
  <si>
    <t>Описание</t>
  </si>
  <si>
    <t>Hook 0–3с</t>
  </si>
  <si>
    <t>Среднее по кадрам 1–3</t>
  </si>
  <si>
    <t>Hook 0–5с</t>
  </si>
  <si>
    <t>Среднее по кадрам 1–5</t>
  </si>
  <si>
    <t>AUC (ролик)</t>
  </si>
  <si>
    <t>Среднее по всем кадрам 1–20</t>
  </si>
  <si>
    <t>Peak</t>
  </si>
  <si>
    <t>Максимальное значение по ролику</t>
  </si>
  <si>
    <t>Finale 18–20с</t>
  </si>
  <si>
    <t>Среднее по последним 3 кадрам</t>
  </si>
  <si>
    <t>BRAND window</t>
  </si>
  <si>
    <t>Среднее по кадрам с тегом BRAND</t>
  </si>
  <si>
    <t>OFFER window</t>
  </si>
  <si>
    <t>Среднее по кадрам с тегом OFFER</t>
  </si>
  <si>
    <t>CTA window</t>
  </si>
  <si>
    <t>Среднее по кадрам с тегом CTA</t>
  </si>
  <si>
    <t>PRODUCT window</t>
  </si>
  <si>
    <t>Среднее по кадрам с тегом PRODUCT</t>
  </si>
  <si>
    <t>z Hook 0–3с</t>
  </si>
  <si>
    <t>z-score: Hook 0–3с</t>
  </si>
  <si>
    <t>z AUC</t>
  </si>
  <si>
    <t>z-score: среднее по ролику</t>
  </si>
  <si>
    <t>z BRAND</t>
  </si>
  <si>
    <t>z-score: Brand window</t>
  </si>
  <si>
    <t>z OFFER</t>
  </si>
  <si>
    <t>z-score: Offer window</t>
  </si>
  <si>
    <t>z Peak</t>
  </si>
  <si>
    <t>z-score: max по ролику</t>
  </si>
  <si>
    <t>Автоматические диагностические флаги (проверить вручную)</t>
  </si>
  <si>
    <t>ATT_peak ≠ Brand</t>
  </si>
  <si>
    <t>Пик ATT не совпадает с Brand window</t>
  </si>
  <si>
    <t>Brand window ATT</t>
  </si>
  <si>
    <t>ATT в Brand окне ниже AUC</t>
  </si>
  <si>
    <t>MEM creative vs brand</t>
  </si>
  <si>
    <t>Creative MEM значительно выше Brand MEM</t>
  </si>
  <si>
    <t>COG Load на оффере</t>
  </si>
  <si>
    <t>Load на OFFER выше Clarity на OFFER</t>
  </si>
  <si>
    <t>REW на оффере</t>
  </si>
  <si>
    <t>REW_offer &lt; порога</t>
  </si>
  <si>
    <t>LOGO</t>
  </si>
  <si>
    <t>LOGO window</t>
  </si>
  <si>
    <t>Среднее по кадрам с тегом LOGO</t>
  </si>
  <si>
    <t>2.  Лист 2 (MARKUP): теги вводятся через запятую если кадр попадает в несколько окон. Пример: BRAND,FACE. Строго из списка: HOOK / BRAND / PRODUCT / OFFER / CTA / LOGO.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</si>
</sst>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2" fillId="2" borderId="1" xfId="0" applyFont="1" applyFill="1" applyBorder="1"/>
    <xf numFmtId="0" fontId="3" fillId="0" borderId="0" xfId="0" applyFon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3</xdr:row>
      <xdr:rowOff>19050</xdr:rowOff>
    </xdr:from>
    <xdr:to>
      <xdr:col>3</xdr:col>
      <xdr:colOff>1276350</xdr:colOff>
      <xdr:row>4</xdr:row>
      <xdr:rowOff>19050</xdr:rowOff>
    </xdr:to>
    <xdr:pic>
      <xdr:nvPicPr>
        <xdr:cNvPr id="2" name="Picture 1" descr="frame_0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9025" y="5905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4</xdr:row>
      <xdr:rowOff>19050</xdr:rowOff>
    </xdr:from>
    <xdr:to>
      <xdr:col>3</xdr:col>
      <xdr:colOff>1276350</xdr:colOff>
      <xdr:row>5</xdr:row>
      <xdr:rowOff>19050</xdr:rowOff>
    </xdr:to>
    <xdr:pic>
      <xdr:nvPicPr>
        <xdr:cNvPr id="3" name="Picture 2" descr="frame_0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9025" y="12954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5</xdr:row>
      <xdr:rowOff>19050</xdr:rowOff>
    </xdr:from>
    <xdr:to>
      <xdr:col>3</xdr:col>
      <xdr:colOff>1276350</xdr:colOff>
      <xdr:row>6</xdr:row>
      <xdr:rowOff>19050</xdr:rowOff>
    </xdr:to>
    <xdr:pic>
      <xdr:nvPicPr>
        <xdr:cNvPr id="4" name="Picture 3" descr="frame_0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29025" y="20002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6</xdr:row>
      <xdr:rowOff>19050</xdr:rowOff>
    </xdr:from>
    <xdr:to>
      <xdr:col>3</xdr:col>
      <xdr:colOff>1276350</xdr:colOff>
      <xdr:row>7</xdr:row>
      <xdr:rowOff>19050</xdr:rowOff>
    </xdr:to>
    <xdr:pic>
      <xdr:nvPicPr>
        <xdr:cNvPr id="5" name="Picture 4" descr="frame_0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29025" y="27051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7</xdr:row>
      <xdr:rowOff>19050</xdr:rowOff>
    </xdr:from>
    <xdr:to>
      <xdr:col>3</xdr:col>
      <xdr:colOff>1276350</xdr:colOff>
      <xdr:row>8</xdr:row>
      <xdr:rowOff>19050</xdr:rowOff>
    </xdr:to>
    <xdr:pic>
      <xdr:nvPicPr>
        <xdr:cNvPr id="6" name="Picture 5" descr="frame_0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29025" y="34099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8</xdr:row>
      <xdr:rowOff>19050</xdr:rowOff>
    </xdr:from>
    <xdr:to>
      <xdr:col>3</xdr:col>
      <xdr:colOff>1276350</xdr:colOff>
      <xdr:row>9</xdr:row>
      <xdr:rowOff>19050</xdr:rowOff>
    </xdr:to>
    <xdr:pic>
      <xdr:nvPicPr>
        <xdr:cNvPr id="7" name="Picture 6" descr="frame_0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29025" y="41148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9</xdr:row>
      <xdr:rowOff>19050</xdr:rowOff>
    </xdr:from>
    <xdr:to>
      <xdr:col>3</xdr:col>
      <xdr:colOff>1276350</xdr:colOff>
      <xdr:row>10</xdr:row>
      <xdr:rowOff>19050</xdr:rowOff>
    </xdr:to>
    <xdr:pic>
      <xdr:nvPicPr>
        <xdr:cNvPr id="8" name="Picture 7" descr="frame_0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29025" y="48196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10</xdr:row>
      <xdr:rowOff>19050</xdr:rowOff>
    </xdr:from>
    <xdr:to>
      <xdr:col>3</xdr:col>
      <xdr:colOff>1276350</xdr:colOff>
      <xdr:row>11</xdr:row>
      <xdr:rowOff>19050</xdr:rowOff>
    </xdr:to>
    <xdr:pic>
      <xdr:nvPicPr>
        <xdr:cNvPr id="9" name="Picture 8" descr="frame_0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29025" y="55245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11</xdr:row>
      <xdr:rowOff>19050</xdr:rowOff>
    </xdr:from>
    <xdr:to>
      <xdr:col>3</xdr:col>
      <xdr:colOff>1276350</xdr:colOff>
      <xdr:row>12</xdr:row>
      <xdr:rowOff>19050</xdr:rowOff>
    </xdr:to>
    <xdr:pic>
      <xdr:nvPicPr>
        <xdr:cNvPr id="10" name="Picture 9" descr="frame_0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29025" y="62293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12</xdr:row>
      <xdr:rowOff>19050</xdr:rowOff>
    </xdr:from>
    <xdr:to>
      <xdr:col>3</xdr:col>
      <xdr:colOff>1276350</xdr:colOff>
      <xdr:row>13</xdr:row>
      <xdr:rowOff>19050</xdr:rowOff>
    </xdr:to>
    <xdr:pic>
      <xdr:nvPicPr>
        <xdr:cNvPr id="11" name="Picture 10" descr="frame_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29025" y="69342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13</xdr:row>
      <xdr:rowOff>19050</xdr:rowOff>
    </xdr:from>
    <xdr:to>
      <xdr:col>3</xdr:col>
      <xdr:colOff>1276350</xdr:colOff>
      <xdr:row>14</xdr:row>
      <xdr:rowOff>19050</xdr:rowOff>
    </xdr:to>
    <xdr:pic>
      <xdr:nvPicPr>
        <xdr:cNvPr id="12" name="Picture 11" descr="frame_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29025" y="76390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14</xdr:row>
      <xdr:rowOff>19050</xdr:rowOff>
    </xdr:from>
    <xdr:to>
      <xdr:col>3</xdr:col>
      <xdr:colOff>1276350</xdr:colOff>
      <xdr:row>15</xdr:row>
      <xdr:rowOff>19050</xdr:rowOff>
    </xdr:to>
    <xdr:pic>
      <xdr:nvPicPr>
        <xdr:cNvPr id="13" name="Picture 12" descr="frame_1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29025" y="83439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15</xdr:row>
      <xdr:rowOff>19050</xdr:rowOff>
    </xdr:from>
    <xdr:to>
      <xdr:col>3</xdr:col>
      <xdr:colOff>1276350</xdr:colOff>
      <xdr:row>16</xdr:row>
      <xdr:rowOff>19050</xdr:rowOff>
    </xdr:to>
    <xdr:pic>
      <xdr:nvPicPr>
        <xdr:cNvPr id="14" name="Picture 13" descr="frame_1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29025" y="90487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16</xdr:row>
      <xdr:rowOff>19050</xdr:rowOff>
    </xdr:from>
    <xdr:to>
      <xdr:col>3</xdr:col>
      <xdr:colOff>1276350</xdr:colOff>
      <xdr:row>17</xdr:row>
      <xdr:rowOff>19050</xdr:rowOff>
    </xdr:to>
    <xdr:pic>
      <xdr:nvPicPr>
        <xdr:cNvPr id="15" name="Picture 14" descr="frame_1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29025" y="97536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17</xdr:row>
      <xdr:rowOff>19050</xdr:rowOff>
    </xdr:from>
    <xdr:to>
      <xdr:col>3</xdr:col>
      <xdr:colOff>1276350</xdr:colOff>
      <xdr:row>18</xdr:row>
      <xdr:rowOff>19050</xdr:rowOff>
    </xdr:to>
    <xdr:pic>
      <xdr:nvPicPr>
        <xdr:cNvPr id="16" name="Picture 15" descr="frame_1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629025" y="104584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18</xdr:row>
      <xdr:rowOff>19050</xdr:rowOff>
    </xdr:from>
    <xdr:to>
      <xdr:col>3</xdr:col>
      <xdr:colOff>1276350</xdr:colOff>
      <xdr:row>19</xdr:row>
      <xdr:rowOff>19050</xdr:rowOff>
    </xdr:to>
    <xdr:pic>
      <xdr:nvPicPr>
        <xdr:cNvPr id="17" name="Picture 16" descr="frame_1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629025" y="111633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19</xdr:row>
      <xdr:rowOff>19050</xdr:rowOff>
    </xdr:from>
    <xdr:to>
      <xdr:col>3</xdr:col>
      <xdr:colOff>1276350</xdr:colOff>
      <xdr:row>20</xdr:row>
      <xdr:rowOff>19050</xdr:rowOff>
    </xdr:to>
    <xdr:pic>
      <xdr:nvPicPr>
        <xdr:cNvPr id="18" name="Picture 17" descr="frame_1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29025" y="118681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20</xdr:row>
      <xdr:rowOff>19050</xdr:rowOff>
    </xdr:from>
    <xdr:to>
      <xdr:col>3</xdr:col>
      <xdr:colOff>1276350</xdr:colOff>
      <xdr:row>21</xdr:row>
      <xdr:rowOff>19050</xdr:rowOff>
    </xdr:to>
    <xdr:pic>
      <xdr:nvPicPr>
        <xdr:cNvPr id="19" name="Picture 18" descr="frame_18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29025" y="125730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21</xdr:row>
      <xdr:rowOff>19050</xdr:rowOff>
    </xdr:from>
    <xdr:to>
      <xdr:col>3</xdr:col>
      <xdr:colOff>1276350</xdr:colOff>
      <xdr:row>22</xdr:row>
      <xdr:rowOff>19050</xdr:rowOff>
    </xdr:to>
    <xdr:pic>
      <xdr:nvPicPr>
        <xdr:cNvPr id="20" name="Picture 19" descr="frame_19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29025" y="132778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22</xdr:row>
      <xdr:rowOff>19050</xdr:rowOff>
    </xdr:from>
    <xdr:to>
      <xdr:col>3</xdr:col>
      <xdr:colOff>1276350</xdr:colOff>
      <xdr:row>23</xdr:row>
      <xdr:rowOff>19050</xdr:rowOff>
    </xdr:to>
    <xdr:pic>
      <xdr:nvPicPr>
        <xdr:cNvPr id="21" name="Picture 20" descr="frame_20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29025" y="13982700"/>
          <a:ext cx="1257300" cy="704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3</xdr:row>
      <xdr:rowOff>19050</xdr:rowOff>
    </xdr:from>
    <xdr:to>
      <xdr:col>3</xdr:col>
      <xdr:colOff>1276350</xdr:colOff>
      <xdr:row>4</xdr:row>
      <xdr:rowOff>19050</xdr:rowOff>
    </xdr:to>
    <xdr:pic>
      <xdr:nvPicPr>
        <xdr:cNvPr id="2" name="Picture 1" descr="frame_0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9025" y="5905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4</xdr:row>
      <xdr:rowOff>19050</xdr:rowOff>
    </xdr:from>
    <xdr:to>
      <xdr:col>3</xdr:col>
      <xdr:colOff>1276350</xdr:colOff>
      <xdr:row>5</xdr:row>
      <xdr:rowOff>19050</xdr:rowOff>
    </xdr:to>
    <xdr:pic>
      <xdr:nvPicPr>
        <xdr:cNvPr id="3" name="Picture 2" descr="frame_0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9025" y="12954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5</xdr:row>
      <xdr:rowOff>19050</xdr:rowOff>
    </xdr:from>
    <xdr:to>
      <xdr:col>3</xdr:col>
      <xdr:colOff>1276350</xdr:colOff>
      <xdr:row>6</xdr:row>
      <xdr:rowOff>19050</xdr:rowOff>
    </xdr:to>
    <xdr:pic>
      <xdr:nvPicPr>
        <xdr:cNvPr id="4" name="Picture 3" descr="frame_03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29025" y="20002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6</xdr:row>
      <xdr:rowOff>19050</xdr:rowOff>
    </xdr:from>
    <xdr:to>
      <xdr:col>3</xdr:col>
      <xdr:colOff>1276350</xdr:colOff>
      <xdr:row>7</xdr:row>
      <xdr:rowOff>19050</xdr:rowOff>
    </xdr:to>
    <xdr:pic>
      <xdr:nvPicPr>
        <xdr:cNvPr id="5" name="Picture 4" descr="frame_04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29025" y="27051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7</xdr:row>
      <xdr:rowOff>19050</xdr:rowOff>
    </xdr:from>
    <xdr:to>
      <xdr:col>3</xdr:col>
      <xdr:colOff>1276350</xdr:colOff>
      <xdr:row>8</xdr:row>
      <xdr:rowOff>19050</xdr:rowOff>
    </xdr:to>
    <xdr:pic>
      <xdr:nvPicPr>
        <xdr:cNvPr id="6" name="Picture 5" descr="frame_05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29025" y="34099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8</xdr:row>
      <xdr:rowOff>19050</xdr:rowOff>
    </xdr:from>
    <xdr:to>
      <xdr:col>3</xdr:col>
      <xdr:colOff>1276350</xdr:colOff>
      <xdr:row>9</xdr:row>
      <xdr:rowOff>19050</xdr:rowOff>
    </xdr:to>
    <xdr:pic>
      <xdr:nvPicPr>
        <xdr:cNvPr id="7" name="Picture 6" descr="frame_06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29025" y="41148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9</xdr:row>
      <xdr:rowOff>19050</xdr:rowOff>
    </xdr:from>
    <xdr:to>
      <xdr:col>3</xdr:col>
      <xdr:colOff>1276350</xdr:colOff>
      <xdr:row>10</xdr:row>
      <xdr:rowOff>19050</xdr:rowOff>
    </xdr:to>
    <xdr:pic>
      <xdr:nvPicPr>
        <xdr:cNvPr id="8" name="Picture 7" descr="frame_07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29025" y="48196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10</xdr:row>
      <xdr:rowOff>19050</xdr:rowOff>
    </xdr:from>
    <xdr:to>
      <xdr:col>3</xdr:col>
      <xdr:colOff>1276350</xdr:colOff>
      <xdr:row>11</xdr:row>
      <xdr:rowOff>19050</xdr:rowOff>
    </xdr:to>
    <xdr:pic>
      <xdr:nvPicPr>
        <xdr:cNvPr id="9" name="Picture 8" descr="frame_08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29025" y="55245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11</xdr:row>
      <xdr:rowOff>19050</xdr:rowOff>
    </xdr:from>
    <xdr:to>
      <xdr:col>3</xdr:col>
      <xdr:colOff>1276350</xdr:colOff>
      <xdr:row>12</xdr:row>
      <xdr:rowOff>19050</xdr:rowOff>
    </xdr:to>
    <xdr:pic>
      <xdr:nvPicPr>
        <xdr:cNvPr id="10" name="Picture 9" descr="frame_09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29025" y="62293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12</xdr:row>
      <xdr:rowOff>19050</xdr:rowOff>
    </xdr:from>
    <xdr:to>
      <xdr:col>3</xdr:col>
      <xdr:colOff>1276350</xdr:colOff>
      <xdr:row>13</xdr:row>
      <xdr:rowOff>19050</xdr:rowOff>
    </xdr:to>
    <xdr:pic>
      <xdr:nvPicPr>
        <xdr:cNvPr id="11" name="Picture 10" descr="frame_10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29025" y="69342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13</xdr:row>
      <xdr:rowOff>19050</xdr:rowOff>
    </xdr:from>
    <xdr:to>
      <xdr:col>3</xdr:col>
      <xdr:colOff>1276350</xdr:colOff>
      <xdr:row>14</xdr:row>
      <xdr:rowOff>19050</xdr:rowOff>
    </xdr:to>
    <xdr:pic>
      <xdr:nvPicPr>
        <xdr:cNvPr id="12" name="Picture 11" descr="frame_11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29025" y="76390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14</xdr:row>
      <xdr:rowOff>19050</xdr:rowOff>
    </xdr:from>
    <xdr:to>
      <xdr:col>3</xdr:col>
      <xdr:colOff>1276350</xdr:colOff>
      <xdr:row>15</xdr:row>
      <xdr:rowOff>19050</xdr:rowOff>
    </xdr:to>
    <xdr:pic>
      <xdr:nvPicPr>
        <xdr:cNvPr id="13" name="Picture 12" descr="frame_12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29025" y="83439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15</xdr:row>
      <xdr:rowOff>19050</xdr:rowOff>
    </xdr:from>
    <xdr:to>
      <xdr:col>3</xdr:col>
      <xdr:colOff>1276350</xdr:colOff>
      <xdr:row>16</xdr:row>
      <xdr:rowOff>19050</xdr:rowOff>
    </xdr:to>
    <xdr:pic>
      <xdr:nvPicPr>
        <xdr:cNvPr id="14" name="Picture 13" descr="frame_13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29025" y="90487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16</xdr:row>
      <xdr:rowOff>19050</xdr:rowOff>
    </xdr:from>
    <xdr:to>
      <xdr:col>3</xdr:col>
      <xdr:colOff>1276350</xdr:colOff>
      <xdr:row>17</xdr:row>
      <xdr:rowOff>19050</xdr:rowOff>
    </xdr:to>
    <xdr:pic>
      <xdr:nvPicPr>
        <xdr:cNvPr id="15" name="Picture 14" descr="frame_14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29025" y="97536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17</xdr:row>
      <xdr:rowOff>19050</xdr:rowOff>
    </xdr:from>
    <xdr:to>
      <xdr:col>3</xdr:col>
      <xdr:colOff>1276350</xdr:colOff>
      <xdr:row>18</xdr:row>
      <xdr:rowOff>19050</xdr:rowOff>
    </xdr:to>
    <xdr:pic>
      <xdr:nvPicPr>
        <xdr:cNvPr id="16" name="Picture 15" descr="frame_15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629025" y="104584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18</xdr:row>
      <xdr:rowOff>19050</xdr:rowOff>
    </xdr:from>
    <xdr:to>
      <xdr:col>3</xdr:col>
      <xdr:colOff>1276350</xdr:colOff>
      <xdr:row>19</xdr:row>
      <xdr:rowOff>19050</xdr:rowOff>
    </xdr:to>
    <xdr:pic>
      <xdr:nvPicPr>
        <xdr:cNvPr id="17" name="Picture 16" descr="frame_16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629025" y="111633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19</xdr:row>
      <xdr:rowOff>19050</xdr:rowOff>
    </xdr:from>
    <xdr:to>
      <xdr:col>3</xdr:col>
      <xdr:colOff>1276350</xdr:colOff>
      <xdr:row>20</xdr:row>
      <xdr:rowOff>19050</xdr:rowOff>
    </xdr:to>
    <xdr:pic>
      <xdr:nvPicPr>
        <xdr:cNvPr id="18" name="Picture 17" descr="frame_17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29025" y="118681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20</xdr:row>
      <xdr:rowOff>19050</xdr:rowOff>
    </xdr:from>
    <xdr:to>
      <xdr:col>3</xdr:col>
      <xdr:colOff>1276350</xdr:colOff>
      <xdr:row>21</xdr:row>
      <xdr:rowOff>19050</xdr:rowOff>
    </xdr:to>
    <xdr:pic>
      <xdr:nvPicPr>
        <xdr:cNvPr id="19" name="Picture 18" descr="frame_18.pn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29025" y="1257300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21</xdr:row>
      <xdr:rowOff>19050</xdr:rowOff>
    </xdr:from>
    <xdr:to>
      <xdr:col>3</xdr:col>
      <xdr:colOff>1276350</xdr:colOff>
      <xdr:row>22</xdr:row>
      <xdr:rowOff>19050</xdr:rowOff>
    </xdr:to>
    <xdr:pic>
      <xdr:nvPicPr>
        <xdr:cNvPr id="20" name="Picture 19" descr="frame_19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29025" y="13277850"/>
          <a:ext cx="1257300" cy="7048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22</xdr:row>
      <xdr:rowOff>19050</xdr:rowOff>
    </xdr:from>
    <xdr:to>
      <xdr:col>3</xdr:col>
      <xdr:colOff>1276350</xdr:colOff>
      <xdr:row>23</xdr:row>
      <xdr:rowOff>19050</xdr:rowOff>
    </xdr:to>
    <xdr:pic>
      <xdr:nvPicPr>
        <xdr:cNvPr id="21" name="Picture 20" descr="frame_20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29025" y="13982700"/>
          <a:ext cx="1257300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C23"/>
  <sheetViews>
    <sheetView workbookViewId="0">
      <pane xSplit="4" ySplit="3" topLeftCell="BA4" activePane="bottomRight" state="frozen"/>
      <selection pane="topRight" activeCell="E1" sqref="E1"/>
      <selection pane="bottomLeft" activeCell="A4" sqref="A4"/>
      <selection pane="bottomRight" activeCell="H5" sqref="H5"/>
    </sheetView>
  </sheetViews>
  <sheetFormatPr defaultRowHeight="14.5" x14ac:dyDescent="0.35"/>
  <cols>
    <col min="1" max="1" width="10.7265625" customWidth="1"/>
    <col min="2" max="2" width="8.7265625" customWidth="1"/>
    <col min="3" max="3" width="34.7265625" customWidth="1"/>
    <col min="4" max="4" width="20.7265625" customWidth="1"/>
    <col min="5" max="55" width="14.7265625" customWidth="1"/>
  </cols>
  <sheetData>
    <row r="2" spans="1:5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5</v>
      </c>
      <c r="N2" s="1" t="s">
        <v>5</v>
      </c>
      <c r="O2" s="1" t="s">
        <v>5</v>
      </c>
      <c r="P2" s="1" t="s">
        <v>5</v>
      </c>
      <c r="Q2" s="1" t="s">
        <v>5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9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9</v>
      </c>
      <c r="AU2" s="1" t="s">
        <v>10</v>
      </c>
      <c r="AV2" s="1" t="s">
        <v>10</v>
      </c>
      <c r="AW2" s="1" t="s">
        <v>10</v>
      </c>
      <c r="AX2" s="1" t="s">
        <v>10</v>
      </c>
      <c r="AY2" s="1" t="s">
        <v>11</v>
      </c>
      <c r="AZ2" s="1" t="s">
        <v>11</v>
      </c>
      <c r="BA2" s="1" t="s">
        <v>11</v>
      </c>
      <c r="BB2" s="1" t="s">
        <v>11</v>
      </c>
      <c r="BC2" s="1" t="s">
        <v>11</v>
      </c>
    </row>
    <row r="3" spans="1:55" ht="29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2" t="s">
        <v>34</v>
      </c>
      <c r="AB3" s="2" t="s">
        <v>35</v>
      </c>
      <c r="AC3" s="2" t="s">
        <v>36</v>
      </c>
      <c r="AD3" s="2" t="s">
        <v>37</v>
      </c>
      <c r="AE3" s="2" t="s">
        <v>38</v>
      </c>
      <c r="AF3" s="2" t="s">
        <v>39</v>
      </c>
      <c r="AG3" s="2" t="s">
        <v>40</v>
      </c>
      <c r="AH3" s="2" t="s">
        <v>41</v>
      </c>
      <c r="AI3" s="2" t="s">
        <v>42</v>
      </c>
      <c r="AJ3" s="2" t="s">
        <v>43</v>
      </c>
      <c r="AK3" s="2" t="s">
        <v>44</v>
      </c>
      <c r="AL3" s="2" t="s">
        <v>45</v>
      </c>
      <c r="AM3" s="2" t="s">
        <v>46</v>
      </c>
      <c r="AN3" s="2" t="s">
        <v>47</v>
      </c>
      <c r="AO3" s="2" t="s">
        <v>48</v>
      </c>
      <c r="AP3" s="2" t="s">
        <v>49</v>
      </c>
      <c r="AQ3" s="2" t="s">
        <v>50</v>
      </c>
      <c r="AR3" s="2" t="s">
        <v>51</v>
      </c>
      <c r="AS3" s="2" t="s">
        <v>52</v>
      </c>
      <c r="AT3" s="2" t="s">
        <v>53</v>
      </c>
      <c r="AU3" s="2" t="s">
        <v>54</v>
      </c>
      <c r="AV3" s="2" t="s">
        <v>55</v>
      </c>
      <c r="AW3" s="2" t="s">
        <v>56</v>
      </c>
      <c r="AX3" s="2" t="s">
        <v>57</v>
      </c>
      <c r="AY3" s="2" t="s">
        <v>58</v>
      </c>
      <c r="AZ3" s="2" t="s">
        <v>59</v>
      </c>
      <c r="BA3" s="2" t="s">
        <v>60</v>
      </c>
      <c r="BB3" s="2" t="s">
        <v>61</v>
      </c>
      <c r="BC3" s="2" t="s">
        <v>62</v>
      </c>
    </row>
    <row r="4" spans="1:55" ht="56" customHeight="1" x14ac:dyDescent="0.35">
      <c r="A4" s="3" t="s">
        <v>63</v>
      </c>
      <c r="B4" s="3">
        <v>1</v>
      </c>
      <c r="C4" s="4" t="s">
        <v>64</v>
      </c>
      <c r="E4" s="5">
        <v>0.2546218724560208</v>
      </c>
      <c r="F4" s="5">
        <v>0.2593368072768738</v>
      </c>
      <c r="G4" s="5">
        <v>0.2729980101981837</v>
      </c>
      <c r="H4" s="5">
        <v>0.15189393182690381</v>
      </c>
      <c r="I4" s="5">
        <v>6.04506407705553E-2</v>
      </c>
      <c r="J4" s="5">
        <v>-0.1109580606758412</v>
      </c>
      <c r="K4" s="5">
        <v>0.3020780038631144</v>
      </c>
      <c r="L4" s="5">
        <v>0.17150437655703851</v>
      </c>
      <c r="M4" s="5">
        <v>-0.125281059812134</v>
      </c>
      <c r="N4" s="5">
        <v>-0.26618214936199752</v>
      </c>
      <c r="O4" s="5">
        <v>-0.21741826455844651</v>
      </c>
      <c r="P4" s="5">
        <v>-9.3908734453838696E-2</v>
      </c>
      <c r="Q4" s="5">
        <v>-0.1042354678594709</v>
      </c>
      <c r="R4" s="5">
        <v>-0.1675367765193366</v>
      </c>
      <c r="S4" s="5">
        <v>-0.2012529520680697</v>
      </c>
      <c r="T4" s="5">
        <v>2.17668568244411E-2</v>
      </c>
      <c r="U4" s="5">
        <v>-0.1066744617940758</v>
      </c>
      <c r="V4" s="5">
        <v>-0.1520276503357674</v>
      </c>
      <c r="W4" s="5">
        <v>0.1798686276683579</v>
      </c>
      <c r="X4" s="5">
        <v>2.3675304032216501E-2</v>
      </c>
      <c r="Y4" s="5">
        <v>-8.9165333939285205E-2</v>
      </c>
      <c r="Z4" s="5">
        <v>-0.19111585996763331</v>
      </c>
      <c r="AA4" s="5">
        <v>-0.17554002786163089</v>
      </c>
      <c r="AB4" s="5">
        <v>0.12659412486302141</v>
      </c>
      <c r="AC4" s="5">
        <v>5.1920994006156303E-2</v>
      </c>
      <c r="AD4" s="5">
        <v>-0.10520730339241451</v>
      </c>
      <c r="AE4" s="5">
        <v>6.2305541440347799E-2</v>
      </c>
      <c r="AF4" s="5">
        <v>-5.1684690782191102E-2</v>
      </c>
      <c r="AG4" s="5">
        <v>-0.11675532164570331</v>
      </c>
      <c r="AH4" s="5">
        <v>-1.4871127475705501E-2</v>
      </c>
      <c r="AI4" s="5">
        <v>0.1758856552514057</v>
      </c>
      <c r="AJ4" s="5">
        <v>-7.3932437657172098E-2</v>
      </c>
      <c r="AK4" s="5">
        <v>4.9113331766275003E-3</v>
      </c>
      <c r="AL4" s="5">
        <v>-3.8425886521376899E-2</v>
      </c>
      <c r="AM4" s="5">
        <v>-0.32476391349685041</v>
      </c>
      <c r="AN4" s="5">
        <v>-0.31821749291574791</v>
      </c>
      <c r="AO4" s="5">
        <v>-0.41284108456103868</v>
      </c>
      <c r="AP4" s="5">
        <v>0.1816955659278065</v>
      </c>
      <c r="AQ4" s="5">
        <v>0.1869322240305413</v>
      </c>
      <c r="AR4" s="5">
        <v>-0.31188892225438392</v>
      </c>
      <c r="AS4" s="5">
        <v>-0.2443807932287104</v>
      </c>
      <c r="AT4" s="5">
        <v>-0.3787177385925698</v>
      </c>
      <c r="AU4" s="5">
        <v>-7.2642638406239093E-2</v>
      </c>
      <c r="AV4" s="5">
        <v>-0.1123179361981</v>
      </c>
      <c r="AW4" s="5">
        <v>-0.1062856836055826</v>
      </c>
      <c r="AX4" s="5">
        <v>-0.21364287358973491</v>
      </c>
      <c r="AY4" s="5">
        <v>0.17046374569425521</v>
      </c>
      <c r="AZ4" s="5">
        <v>-6.7338960027944705E-2</v>
      </c>
      <c r="BA4" s="5">
        <v>3.1678533374737E-3</v>
      </c>
      <c r="BB4" s="5">
        <v>-7.8332853649085099E-2</v>
      </c>
      <c r="BC4" s="5">
        <v>0.14582554022277719</v>
      </c>
    </row>
    <row r="5" spans="1:55" ht="56" customHeight="1" x14ac:dyDescent="0.35">
      <c r="A5" s="3" t="s">
        <v>65</v>
      </c>
      <c r="B5" s="3">
        <v>2</v>
      </c>
      <c r="C5" s="4" t="s">
        <v>66</v>
      </c>
      <c r="E5" s="5">
        <v>0.2513267763010133</v>
      </c>
      <c r="F5" s="5">
        <v>0.22004350094220729</v>
      </c>
      <c r="G5" s="5">
        <v>0.26445247475446571</v>
      </c>
      <c r="H5" s="5">
        <v>0.18291464535239141</v>
      </c>
      <c r="I5" s="5">
        <v>0.10927703435769499</v>
      </c>
      <c r="J5" s="5">
        <v>-0.1596510125784168</v>
      </c>
      <c r="K5" s="5">
        <v>0.2694638726536312</v>
      </c>
      <c r="L5" s="5">
        <v>0.15943007415377131</v>
      </c>
      <c r="M5" s="5">
        <v>-0.14188880463790701</v>
      </c>
      <c r="N5" s="5">
        <v>-0.25270924731456001</v>
      </c>
      <c r="O5" s="5">
        <v>-0.25745528062212131</v>
      </c>
      <c r="P5" s="5">
        <v>-0.1455368308115394</v>
      </c>
      <c r="Q5" s="5">
        <v>-8.1251110277488395E-2</v>
      </c>
      <c r="R5" s="5">
        <v>-0.20128511253954129</v>
      </c>
      <c r="S5" s="5">
        <v>-0.2151677275819722</v>
      </c>
      <c r="T5" s="5">
        <v>-4.7777048813861897E-2</v>
      </c>
      <c r="U5" s="5">
        <v>-0.14553229216581379</v>
      </c>
      <c r="V5" s="5">
        <v>-0.189573453362439</v>
      </c>
      <c r="W5" s="5">
        <v>5.8816310934217797E-2</v>
      </c>
      <c r="X5" s="5">
        <v>-7.3374639902403505E-2</v>
      </c>
      <c r="Y5" s="5">
        <v>-0.1739512502999977</v>
      </c>
      <c r="Z5" s="5">
        <v>-0.2234672213994145</v>
      </c>
      <c r="AA5" s="5">
        <v>-0.19612867932703429</v>
      </c>
      <c r="AB5" s="5">
        <v>3.6411718906593803E-2</v>
      </c>
      <c r="AC5" s="5">
        <v>-3.3634938335022298E-2</v>
      </c>
      <c r="AD5" s="5">
        <v>-0.13635015517602339</v>
      </c>
      <c r="AE5" s="5">
        <v>3.4153560341192303E-2</v>
      </c>
      <c r="AF5" s="5">
        <v>-7.4791231637283295E-2</v>
      </c>
      <c r="AG5" s="5">
        <v>-0.15650080645294831</v>
      </c>
      <c r="AH5" s="5">
        <v>-4.0773534619465701E-2</v>
      </c>
      <c r="AI5" s="5">
        <v>0.16997309227312701</v>
      </c>
      <c r="AJ5" s="5">
        <v>-9.2641223628813205E-2</v>
      </c>
      <c r="AK5" s="5">
        <v>-2.2350406286036299E-2</v>
      </c>
      <c r="AL5" s="5">
        <v>-8.2809007973828397E-2</v>
      </c>
      <c r="AM5" s="5">
        <v>-0.31403229611319611</v>
      </c>
      <c r="AN5" s="5">
        <v>-0.31212379938742291</v>
      </c>
      <c r="AO5" s="5">
        <v>-0.40914199352318847</v>
      </c>
      <c r="AP5" s="5">
        <v>7.3028472145273596E-2</v>
      </c>
      <c r="AQ5" s="5">
        <v>0.16671020663210531</v>
      </c>
      <c r="AR5" s="5">
        <v>-0.34787768274736708</v>
      </c>
      <c r="AS5" s="5">
        <v>-0.22561802967462871</v>
      </c>
      <c r="AT5" s="5">
        <v>-0.39088270261822028</v>
      </c>
      <c r="AU5" s="5">
        <v>2.30226202402725E-2</v>
      </c>
      <c r="AV5" s="5">
        <v>-0.1109096549146886</v>
      </c>
      <c r="AW5" s="5">
        <v>-2.0772477682925498E-2</v>
      </c>
      <c r="AX5" s="5">
        <v>-0.1237151917703032</v>
      </c>
      <c r="AY5" s="5">
        <v>0.1706482470551656</v>
      </c>
      <c r="AZ5" s="5">
        <v>-3.4538876543133097E-2</v>
      </c>
      <c r="BA5" s="5">
        <v>-9.8938321684511991E-3</v>
      </c>
      <c r="BB5" s="5">
        <v>-2.5906709891846999E-2</v>
      </c>
      <c r="BC5" s="5">
        <v>0.1177064757870116</v>
      </c>
    </row>
    <row r="6" spans="1:55" ht="56" customHeight="1" x14ac:dyDescent="0.35">
      <c r="A6" s="3" t="s">
        <v>67</v>
      </c>
      <c r="B6" s="3">
        <v>3</v>
      </c>
      <c r="C6" s="4" t="s">
        <v>68</v>
      </c>
      <c r="E6" s="5">
        <v>0.26482585240079443</v>
      </c>
      <c r="F6" s="5">
        <v>0.2746863051891435</v>
      </c>
      <c r="G6" s="5">
        <v>0.26456880013962653</v>
      </c>
      <c r="H6" s="5">
        <v>0.17121384482168461</v>
      </c>
      <c r="I6" s="5">
        <v>5.7627908375873803E-2</v>
      </c>
      <c r="J6" s="5">
        <v>-0.14415848435433651</v>
      </c>
      <c r="K6" s="5">
        <v>0.34861877199458141</v>
      </c>
      <c r="L6" s="5">
        <v>0.16826985955015539</v>
      </c>
      <c r="M6" s="5">
        <v>-0.14249449714625551</v>
      </c>
      <c r="N6" s="5">
        <v>-0.28042411019893948</v>
      </c>
      <c r="O6" s="5">
        <v>-0.21658124953139979</v>
      </c>
      <c r="P6" s="5">
        <v>-9.4291376041434394E-2</v>
      </c>
      <c r="Q6" s="5">
        <v>-9.4029138985716396E-2</v>
      </c>
      <c r="R6" s="5">
        <v>-0.15679022575847151</v>
      </c>
      <c r="S6" s="5">
        <v>-0.22022198136957649</v>
      </c>
      <c r="T6" s="5">
        <v>1.0750075915908E-2</v>
      </c>
      <c r="U6" s="5">
        <v>-0.11655866050672441</v>
      </c>
      <c r="V6" s="5">
        <v>-0.18870224546156261</v>
      </c>
      <c r="W6" s="5">
        <v>0.1857225885532425</v>
      </c>
      <c r="X6" s="5">
        <v>3.0721360396666401E-2</v>
      </c>
      <c r="Y6" s="5">
        <v>-8.32761586805221E-2</v>
      </c>
      <c r="Z6" s="5">
        <v>-0.15949395492444371</v>
      </c>
      <c r="AA6" s="5">
        <v>-0.16170632466962709</v>
      </c>
      <c r="AB6" s="5">
        <v>0.18411768072342249</v>
      </c>
      <c r="AC6" s="5">
        <v>7.4222357060070895E-2</v>
      </c>
      <c r="AD6" s="5">
        <v>-0.15180777463557321</v>
      </c>
      <c r="AE6" s="5">
        <v>4.1919837998798198E-2</v>
      </c>
      <c r="AF6" s="5">
        <v>-8.0614908172512698E-2</v>
      </c>
      <c r="AG6" s="5">
        <v>-0.15597846947523869</v>
      </c>
      <c r="AH6" s="5">
        <v>-5.3364698384912999E-2</v>
      </c>
      <c r="AI6" s="5">
        <v>0.2065103617156</v>
      </c>
      <c r="AJ6" s="5">
        <v>-9.5509173702645805E-2</v>
      </c>
      <c r="AK6" s="5">
        <v>-3.1997821613062201E-2</v>
      </c>
      <c r="AL6" s="5">
        <v>-4.8507870278992102E-2</v>
      </c>
      <c r="AM6" s="5">
        <v>-0.26403520910249978</v>
      </c>
      <c r="AN6" s="5">
        <v>-0.2612084255601948</v>
      </c>
      <c r="AO6" s="5">
        <v>-0.35282861379818481</v>
      </c>
      <c r="AP6" s="5">
        <v>0.24473680150896729</v>
      </c>
      <c r="AQ6" s="5">
        <v>0.23489323781365959</v>
      </c>
      <c r="AR6" s="5">
        <v>-0.30420579304591461</v>
      </c>
      <c r="AS6" s="5">
        <v>-0.22678473213138989</v>
      </c>
      <c r="AT6" s="5">
        <v>-0.3170805066341601</v>
      </c>
      <c r="AU6" s="5">
        <v>1.29950517821469E-2</v>
      </c>
      <c r="AV6" s="5">
        <v>-4.2022696449165099E-2</v>
      </c>
      <c r="AW6" s="5">
        <v>-5.4830048919303799E-2</v>
      </c>
      <c r="AX6" s="5">
        <v>-0.12009150617372311</v>
      </c>
      <c r="AY6" s="5">
        <v>0.1424957328904197</v>
      </c>
      <c r="AZ6" s="5">
        <v>-0.10953378529073821</v>
      </c>
      <c r="BA6" s="5">
        <v>-1.92222479596213E-2</v>
      </c>
      <c r="BB6" s="5">
        <v>-0.13699694720134281</v>
      </c>
      <c r="BC6" s="5">
        <v>0.1300786772840577</v>
      </c>
    </row>
    <row r="7" spans="1:55" ht="56" customHeight="1" x14ac:dyDescent="0.35">
      <c r="A7" s="3" t="s">
        <v>69</v>
      </c>
      <c r="B7" s="3">
        <v>4</v>
      </c>
      <c r="C7" s="4" t="s">
        <v>70</v>
      </c>
      <c r="E7" s="5">
        <v>0.278903632745577</v>
      </c>
      <c r="F7" s="5">
        <v>0.29051836331878872</v>
      </c>
      <c r="G7" s="5">
        <v>0.2645477919179115</v>
      </c>
      <c r="H7" s="5">
        <v>0.18653062633007789</v>
      </c>
      <c r="I7" s="5">
        <v>5.5288821038073102E-2</v>
      </c>
      <c r="J7" s="5">
        <v>-0.15777905360246211</v>
      </c>
      <c r="K7" s="5">
        <v>0.37744111302934152</v>
      </c>
      <c r="L7" s="5">
        <v>0.1634778819500349</v>
      </c>
      <c r="M7" s="5">
        <v>-0.15075472707225959</v>
      </c>
      <c r="N7" s="5">
        <v>-0.28606306787284919</v>
      </c>
      <c r="O7" s="5">
        <v>-0.21939968290938869</v>
      </c>
      <c r="P7" s="5">
        <v>-9.33970436975054E-2</v>
      </c>
      <c r="Q7" s="5">
        <v>-9.31958461888579E-2</v>
      </c>
      <c r="R7" s="5">
        <v>-0.15818865365330101</v>
      </c>
      <c r="S7" s="5">
        <v>-0.22525730796190499</v>
      </c>
      <c r="T7" s="5">
        <v>9.3293896018802995E-3</v>
      </c>
      <c r="U7" s="5">
        <v>-0.1235602407099132</v>
      </c>
      <c r="V7" s="5">
        <v>-0.20881617035499231</v>
      </c>
      <c r="W7" s="5">
        <v>0.1773047929650938</v>
      </c>
      <c r="X7" s="5">
        <v>2.76148305909963E-2</v>
      </c>
      <c r="Y7" s="5">
        <v>-9.2397360998541997E-2</v>
      </c>
      <c r="Z7" s="5">
        <v>-0.1568135141746814</v>
      </c>
      <c r="AA7" s="5">
        <v>-0.1717177644397555</v>
      </c>
      <c r="AB7" s="5">
        <v>0.20052119738221169</v>
      </c>
      <c r="AC7" s="5">
        <v>7.5399947804696305E-2</v>
      </c>
      <c r="AD7" s="5">
        <v>-0.18496775327866691</v>
      </c>
      <c r="AE7" s="5">
        <v>2.6620928294976601E-2</v>
      </c>
      <c r="AF7" s="5">
        <v>-0.1025408284401549</v>
      </c>
      <c r="AG7" s="5">
        <v>-0.18344358878402789</v>
      </c>
      <c r="AH7" s="5">
        <v>-8.1260309521103899E-2</v>
      </c>
      <c r="AI7" s="5">
        <v>0.21809673142308261</v>
      </c>
      <c r="AJ7" s="5">
        <v>-0.1052615111264064</v>
      </c>
      <c r="AK7" s="5">
        <v>-5.7194442108508999E-2</v>
      </c>
      <c r="AL7" s="5">
        <v>-5.8893784065012E-2</v>
      </c>
      <c r="AM7" s="5">
        <v>-0.23242085383015351</v>
      </c>
      <c r="AN7" s="5">
        <v>-0.2256498268628665</v>
      </c>
      <c r="AO7" s="5">
        <v>-0.31587152644044808</v>
      </c>
      <c r="AP7" s="5">
        <v>0.27014626735684272</v>
      </c>
      <c r="AQ7" s="5">
        <v>0.27194272349555493</v>
      </c>
      <c r="AR7" s="5">
        <v>-0.29647951306844789</v>
      </c>
      <c r="AS7" s="5">
        <v>-0.20943716890968431</v>
      </c>
      <c r="AT7" s="5">
        <v>-0.28175034901300899</v>
      </c>
      <c r="AU7" s="5">
        <v>3.89237876920576E-2</v>
      </c>
      <c r="AV7" s="5">
        <v>-2.53123099434449E-2</v>
      </c>
      <c r="AW7" s="5">
        <v>-3.9086605534349901E-2</v>
      </c>
      <c r="AX7" s="5">
        <v>-8.6269822803937996E-2</v>
      </c>
      <c r="AY7" s="5">
        <v>0.1216695087014299</v>
      </c>
      <c r="AZ7" s="5">
        <v>-0.13749612476820219</v>
      </c>
      <c r="BA7" s="5">
        <v>-3.3968464949787003E-2</v>
      </c>
      <c r="BB7" s="5">
        <v>-0.1596224854832809</v>
      </c>
      <c r="BC7" s="5">
        <v>0.118179030397326</v>
      </c>
    </row>
    <row r="8" spans="1:55" ht="56" customHeight="1" x14ac:dyDescent="0.35">
      <c r="A8" s="3" t="s">
        <v>71</v>
      </c>
      <c r="B8" s="3">
        <v>5</v>
      </c>
      <c r="C8" s="4" t="s">
        <v>72</v>
      </c>
      <c r="E8" s="5">
        <v>0.29322771587178531</v>
      </c>
      <c r="F8" s="5">
        <v>0.30877560831953499</v>
      </c>
      <c r="G8" s="5">
        <v>0.26992675079127559</v>
      </c>
      <c r="H8" s="5">
        <v>0.1913471838856298</v>
      </c>
      <c r="I8" s="5">
        <v>4.5090174751765098E-2</v>
      </c>
      <c r="J8" s="5">
        <v>-0.14499600195268361</v>
      </c>
      <c r="K8" s="5">
        <v>0.3977159539372917</v>
      </c>
      <c r="L8" s="5">
        <v>0.16120211536210799</v>
      </c>
      <c r="M8" s="5">
        <v>-0.14713988168837269</v>
      </c>
      <c r="N8" s="5">
        <v>-0.2924054017234366</v>
      </c>
      <c r="O8" s="5">
        <v>-0.2188362827133141</v>
      </c>
      <c r="P8" s="5">
        <v>-8.4157969782605202E-2</v>
      </c>
      <c r="Q8" s="5">
        <v>-9.7404127384334294E-2</v>
      </c>
      <c r="R8" s="5">
        <v>-0.16037178990597589</v>
      </c>
      <c r="S8" s="5">
        <v>-0.22478677148578449</v>
      </c>
      <c r="T8" s="5">
        <v>1.75894175739113E-2</v>
      </c>
      <c r="U8" s="5">
        <v>-0.12210910188163231</v>
      </c>
      <c r="V8" s="5">
        <v>-0.20398320658254729</v>
      </c>
      <c r="W8" s="5">
        <v>0.17946990881989811</v>
      </c>
      <c r="X8" s="5">
        <v>2.9369741977020199E-2</v>
      </c>
      <c r="Y8" s="5">
        <v>-8.4662659352133504E-2</v>
      </c>
      <c r="Z8" s="5">
        <v>-0.15827875669698521</v>
      </c>
      <c r="AA8" s="5">
        <v>-0.1803129148351332</v>
      </c>
      <c r="AB8" s="5">
        <v>0.2044701767586502</v>
      </c>
      <c r="AC8" s="5">
        <v>7.8775424276615297E-2</v>
      </c>
      <c r="AD8" s="5">
        <v>-0.1817680533266266</v>
      </c>
      <c r="AE8" s="5">
        <v>3.2968456646431298E-2</v>
      </c>
      <c r="AF8" s="5">
        <v>-9.9692079674778805E-2</v>
      </c>
      <c r="AG8" s="5">
        <v>-0.1794956006238391</v>
      </c>
      <c r="AH8" s="5">
        <v>-8.0252923476327606E-2</v>
      </c>
      <c r="AI8" s="5">
        <v>0.2229403044955206</v>
      </c>
      <c r="AJ8" s="5">
        <v>-9.6612814201541899E-2</v>
      </c>
      <c r="AK8" s="5">
        <v>-5.5546934625337399E-2</v>
      </c>
      <c r="AL8" s="5">
        <v>-5.3152602223596697E-2</v>
      </c>
      <c r="AM8" s="5">
        <v>-0.2247247979578329</v>
      </c>
      <c r="AN8" s="5">
        <v>-0.21706416477845239</v>
      </c>
      <c r="AO8" s="5">
        <v>-0.30847763614945789</v>
      </c>
      <c r="AP8" s="5">
        <v>0.27757914839510428</v>
      </c>
      <c r="AQ8" s="5">
        <v>0.290157144257151</v>
      </c>
      <c r="AR8" s="5">
        <v>-0.2842448409411133</v>
      </c>
      <c r="AS8" s="5">
        <v>-0.2120245660706073</v>
      </c>
      <c r="AT8" s="5">
        <v>-0.26982871445068241</v>
      </c>
      <c r="AU8" s="5">
        <v>8.5553464815767994E-3</v>
      </c>
      <c r="AV8" s="5">
        <v>-4.2746354378321902E-2</v>
      </c>
      <c r="AW8" s="5">
        <v>-5.64665909743911E-2</v>
      </c>
      <c r="AX8" s="5">
        <v>-0.1085297901180715</v>
      </c>
      <c r="AY8" s="5">
        <v>0.1158752784046328</v>
      </c>
      <c r="AZ8" s="5">
        <v>-0.1462195847133303</v>
      </c>
      <c r="BA8" s="5">
        <v>-3.3996731941949798E-2</v>
      </c>
      <c r="BB8" s="5">
        <v>-0.16648931958998001</v>
      </c>
      <c r="BC8" s="5">
        <v>0.1164096767499411</v>
      </c>
    </row>
    <row r="9" spans="1:55" ht="56" customHeight="1" x14ac:dyDescent="0.35">
      <c r="A9" s="3" t="s">
        <v>73</v>
      </c>
      <c r="B9" s="3">
        <v>6</v>
      </c>
      <c r="C9" s="4" t="s">
        <v>74</v>
      </c>
      <c r="E9" s="5">
        <v>0.31451020724698597</v>
      </c>
      <c r="F9" s="5">
        <v>0.32961307381884519</v>
      </c>
      <c r="G9" s="5">
        <v>0.28630625343062588</v>
      </c>
      <c r="H9" s="5">
        <v>0.20760399567328791</v>
      </c>
      <c r="I9" s="5">
        <v>5.1096405519089998E-2</v>
      </c>
      <c r="J9" s="5">
        <v>-0.1686372195521022</v>
      </c>
      <c r="K9" s="5">
        <v>0.41598311716642128</v>
      </c>
      <c r="L9" s="5">
        <v>0.16877058496592021</v>
      </c>
      <c r="M9" s="5">
        <v>-0.16165970523942519</v>
      </c>
      <c r="N9" s="5">
        <v>-0.3110034698784413</v>
      </c>
      <c r="O9" s="5">
        <v>-0.2449548389430018</v>
      </c>
      <c r="P9" s="5">
        <v>-0.1003335833764926</v>
      </c>
      <c r="Q9" s="5">
        <v>-0.1192099484558691</v>
      </c>
      <c r="R9" s="5">
        <v>-0.18457603255333441</v>
      </c>
      <c r="S9" s="5">
        <v>-0.23925417534623619</v>
      </c>
      <c r="T9" s="5">
        <v>7.6219509073762997E-3</v>
      </c>
      <c r="U9" s="5">
        <v>-0.1431864511996308</v>
      </c>
      <c r="V9" s="5">
        <v>-0.23176067150581489</v>
      </c>
      <c r="W9" s="5">
        <v>0.16608679316461969</v>
      </c>
      <c r="X9" s="5">
        <v>1.7110090843648802E-2</v>
      </c>
      <c r="Y9" s="5">
        <v>-0.1095641542919704</v>
      </c>
      <c r="Z9" s="5">
        <v>-0.17195302906121659</v>
      </c>
      <c r="AA9" s="5">
        <v>-0.20515506680844989</v>
      </c>
      <c r="AB9" s="5">
        <v>0.2064703562954652</v>
      </c>
      <c r="AC9" s="5">
        <v>7.5023019457132106E-2</v>
      </c>
      <c r="AD9" s="5">
        <v>-0.21717676677322961</v>
      </c>
      <c r="AE9" s="5">
        <v>1.7839575780359201E-2</v>
      </c>
      <c r="AF9" s="5">
        <v>-0.1202446557541447</v>
      </c>
      <c r="AG9" s="5">
        <v>-0.2126155220416733</v>
      </c>
      <c r="AH9" s="5">
        <v>-0.1019235158252253</v>
      </c>
      <c r="AI9" s="5">
        <v>0.21856833531049319</v>
      </c>
      <c r="AJ9" s="5">
        <v>-0.1192722144848037</v>
      </c>
      <c r="AK9" s="5">
        <v>-7.5651419384029694E-2</v>
      </c>
      <c r="AL9" s="5">
        <v>-7.4723270756658897E-2</v>
      </c>
      <c r="AM9" s="5">
        <v>-0.2239828405534573</v>
      </c>
      <c r="AN9" s="5">
        <v>-0.2099663573301136</v>
      </c>
      <c r="AO9" s="5">
        <v>-0.30668395905496859</v>
      </c>
      <c r="AP9" s="5">
        <v>0.2815138245599616</v>
      </c>
      <c r="AQ9" s="5">
        <v>0.31893422081371398</v>
      </c>
      <c r="AR9" s="5">
        <v>-0.30163703892554228</v>
      </c>
      <c r="AS9" s="5">
        <v>-0.20385593022469761</v>
      </c>
      <c r="AT9" s="5">
        <v>-0.27393210533451362</v>
      </c>
      <c r="AU9" s="5">
        <v>3.0637646127553899E-2</v>
      </c>
      <c r="AV9" s="5">
        <v>-3.5487684846776599E-2</v>
      </c>
      <c r="AW9" s="5">
        <v>-4.3318286477081802E-2</v>
      </c>
      <c r="AX9" s="5">
        <v>-9.4216907216954998E-2</v>
      </c>
      <c r="AY9" s="5">
        <v>0.1266612802017627</v>
      </c>
      <c r="AZ9" s="5">
        <v>-0.15550856986998621</v>
      </c>
      <c r="BA9" s="5">
        <v>-4.28811296418301E-2</v>
      </c>
      <c r="BB9" s="5">
        <v>-0.17607169708100351</v>
      </c>
      <c r="BC9" s="5">
        <v>0.12497562060947701</v>
      </c>
    </row>
    <row r="10" spans="1:55" ht="56" customHeight="1" x14ac:dyDescent="0.35">
      <c r="A10" s="3" t="s">
        <v>75</v>
      </c>
      <c r="B10" s="3">
        <v>7</v>
      </c>
      <c r="C10" s="4" t="s">
        <v>76</v>
      </c>
      <c r="E10" s="5">
        <v>0.31645676390317151</v>
      </c>
      <c r="F10" s="5">
        <v>0.33422166133689257</v>
      </c>
      <c r="G10" s="5">
        <v>0.28737222385989369</v>
      </c>
      <c r="H10" s="5">
        <v>0.21059438718498411</v>
      </c>
      <c r="I10" s="5">
        <v>5.5218681236269503E-2</v>
      </c>
      <c r="J10" s="5">
        <v>-0.179695163615602</v>
      </c>
      <c r="K10" s="5">
        <v>0.42027777375795639</v>
      </c>
      <c r="L10" s="5">
        <v>0.16840033383651659</v>
      </c>
      <c r="M10" s="5">
        <v>-0.17290567884208369</v>
      </c>
      <c r="N10" s="5">
        <v>-0.31868958405882719</v>
      </c>
      <c r="O10" s="5">
        <v>-0.25720271525536692</v>
      </c>
      <c r="P10" s="5">
        <v>-0.1092687105527831</v>
      </c>
      <c r="Q10" s="5">
        <v>-0.1244676547369417</v>
      </c>
      <c r="R10" s="5">
        <v>-0.1936625930724086</v>
      </c>
      <c r="S10" s="5">
        <v>-0.24511456710701909</v>
      </c>
      <c r="T10" s="5">
        <v>-3.1517773127904001E-3</v>
      </c>
      <c r="U10" s="5">
        <v>-0.15896149056905109</v>
      </c>
      <c r="V10" s="5">
        <v>-0.25278229434252958</v>
      </c>
      <c r="W10" s="5">
        <v>0.15725953294197281</v>
      </c>
      <c r="X10" s="5">
        <v>8.9715003857979998E-3</v>
      </c>
      <c r="Y10" s="5">
        <v>-0.1168168293780085</v>
      </c>
      <c r="Z10" s="5">
        <v>-0.16915511496246741</v>
      </c>
      <c r="AA10" s="5">
        <v>-0.20853296947119471</v>
      </c>
      <c r="AB10" s="5">
        <v>0.21106393218137981</v>
      </c>
      <c r="AC10" s="5">
        <v>7.6827346589777801E-2</v>
      </c>
      <c r="AD10" s="5">
        <v>-0.23934355337586111</v>
      </c>
      <c r="AE10" s="5">
        <v>4.0622582170433E-3</v>
      </c>
      <c r="AF10" s="5">
        <v>-0.13596487865281179</v>
      </c>
      <c r="AG10" s="5">
        <v>-0.22892559407650959</v>
      </c>
      <c r="AH10" s="5">
        <v>-0.1203403303063314</v>
      </c>
      <c r="AI10" s="5">
        <v>0.22035302572654661</v>
      </c>
      <c r="AJ10" s="5">
        <v>-0.1315802633505096</v>
      </c>
      <c r="AK10" s="5">
        <v>-9.0843721556868207E-2</v>
      </c>
      <c r="AL10" s="5">
        <v>-8.9199454228724703E-2</v>
      </c>
      <c r="AM10" s="5">
        <v>-0.21657862949410339</v>
      </c>
      <c r="AN10" s="5">
        <v>-0.19820226604924071</v>
      </c>
      <c r="AO10" s="5">
        <v>-0.2941557443799695</v>
      </c>
      <c r="AP10" s="5">
        <v>0.27699758584764728</v>
      </c>
      <c r="AQ10" s="5">
        <v>0.32314727260494852</v>
      </c>
      <c r="AR10" s="5">
        <v>-0.29979404596056419</v>
      </c>
      <c r="AS10" s="5">
        <v>-0.19843339488091299</v>
      </c>
      <c r="AT10" s="5">
        <v>-0.27080870591449507</v>
      </c>
      <c r="AU10" s="5">
        <v>6.4379632334823106E-2</v>
      </c>
      <c r="AV10" s="5">
        <v>-1.01690745366833E-2</v>
      </c>
      <c r="AW10" s="5">
        <v>-1.9655239534031501E-2</v>
      </c>
      <c r="AX10" s="5">
        <v>-6.1740500529465003E-2</v>
      </c>
      <c r="AY10" s="5">
        <v>0.1306006647494353</v>
      </c>
      <c r="AZ10" s="5">
        <v>-0.15876445965113339</v>
      </c>
      <c r="BA10" s="5">
        <v>-4.8045598779096803E-2</v>
      </c>
      <c r="BB10" s="5">
        <v>-0.18708671906505259</v>
      </c>
      <c r="BC10" s="5">
        <v>0.12855544884460329</v>
      </c>
    </row>
    <row r="11" spans="1:55" ht="56" customHeight="1" x14ac:dyDescent="0.35">
      <c r="A11" s="3" t="s">
        <v>77</v>
      </c>
      <c r="B11" s="3">
        <v>8</v>
      </c>
      <c r="C11" s="4" t="s">
        <v>78</v>
      </c>
      <c r="E11" s="5">
        <v>0.3169371281884204</v>
      </c>
      <c r="F11" s="5">
        <v>0.34081200816421409</v>
      </c>
      <c r="G11" s="5">
        <v>0.28421808011035699</v>
      </c>
      <c r="H11" s="5">
        <v>0.2118443357141413</v>
      </c>
      <c r="I11" s="5">
        <v>5.1029861331528398E-2</v>
      </c>
      <c r="J11" s="5">
        <v>-0.18835176013545349</v>
      </c>
      <c r="K11" s="5">
        <v>0.42864335446801399</v>
      </c>
      <c r="L11" s="5">
        <v>0.1686936172363418</v>
      </c>
      <c r="M11" s="5">
        <v>-0.18207388305566219</v>
      </c>
      <c r="N11" s="5">
        <v>-0.32589635235187198</v>
      </c>
      <c r="O11" s="5">
        <v>-0.2627634227688232</v>
      </c>
      <c r="P11" s="5">
        <v>-0.112303432853239</v>
      </c>
      <c r="Q11" s="5">
        <v>-0.1341618895046236</v>
      </c>
      <c r="R11" s="5">
        <v>-0.19666856510565009</v>
      </c>
      <c r="S11" s="5">
        <v>-0.2474610474027045</v>
      </c>
      <c r="T11" s="5">
        <v>-5.5801580935374E-3</v>
      </c>
      <c r="U11" s="5">
        <v>-0.16930468863250381</v>
      </c>
      <c r="V11" s="5">
        <v>-0.26872667446733101</v>
      </c>
      <c r="W11" s="5">
        <v>0.1626969026207111</v>
      </c>
      <c r="X11" s="5">
        <v>1.7000499328130102E-2</v>
      </c>
      <c r="Y11" s="5">
        <v>-0.11546686582471979</v>
      </c>
      <c r="Z11" s="5">
        <v>-0.15925508656845119</v>
      </c>
      <c r="AA11" s="5">
        <v>-0.2098453400106092</v>
      </c>
      <c r="AB11" s="5">
        <v>0.2270843494959825</v>
      </c>
      <c r="AC11" s="5">
        <v>8.8139371084485899E-2</v>
      </c>
      <c r="AD11" s="5">
        <v>-0.26445071561819078</v>
      </c>
      <c r="AE11" s="5">
        <v>-1.083660146136E-2</v>
      </c>
      <c r="AF11" s="5">
        <v>-0.15095337483287041</v>
      </c>
      <c r="AG11" s="5">
        <v>-0.24598073271056339</v>
      </c>
      <c r="AH11" s="5">
        <v>-0.13765487992886041</v>
      </c>
      <c r="AI11" s="5">
        <v>0.21849612937196089</v>
      </c>
      <c r="AJ11" s="5">
        <v>-0.1440929182446716</v>
      </c>
      <c r="AK11" s="5">
        <v>-0.1079371618589777</v>
      </c>
      <c r="AL11" s="5">
        <v>-9.5043127977547201E-2</v>
      </c>
      <c r="AM11" s="5">
        <v>-0.19715356317496641</v>
      </c>
      <c r="AN11" s="5">
        <v>-0.1714369021610615</v>
      </c>
      <c r="AO11" s="5">
        <v>-0.26258736322800658</v>
      </c>
      <c r="AP11" s="5">
        <v>0.2918771821384652</v>
      </c>
      <c r="AQ11" s="5">
        <v>0.33943352251167702</v>
      </c>
      <c r="AR11" s="5">
        <v>-0.28894888806659819</v>
      </c>
      <c r="AS11" s="5">
        <v>-0.1847892942168716</v>
      </c>
      <c r="AT11" s="5">
        <v>-0.2487290944111506</v>
      </c>
      <c r="AU11" s="5">
        <v>8.8956669284124198E-2</v>
      </c>
      <c r="AV11" s="5">
        <v>1.82029213798038E-2</v>
      </c>
      <c r="AW11" s="5">
        <v>-4.0340161007418E-3</v>
      </c>
      <c r="AX11" s="5">
        <v>-3.1449751826001897E-2</v>
      </c>
      <c r="AY11" s="5">
        <v>0.1239494739969797</v>
      </c>
      <c r="AZ11" s="5">
        <v>-0.17370144874027441</v>
      </c>
      <c r="BA11" s="5">
        <v>-5.3658874717123099E-2</v>
      </c>
      <c r="BB11" s="5">
        <v>-0.20603418929910161</v>
      </c>
      <c r="BC11" s="5">
        <v>0.12856182730964039</v>
      </c>
    </row>
    <row r="12" spans="1:55" ht="56" customHeight="1" x14ac:dyDescent="0.35">
      <c r="A12" s="3" t="s">
        <v>79</v>
      </c>
      <c r="B12" s="3">
        <v>9</v>
      </c>
      <c r="C12" s="4" t="s">
        <v>80</v>
      </c>
      <c r="E12" s="5">
        <v>0.27922390745373138</v>
      </c>
      <c r="F12" s="5">
        <v>0.3165015909190671</v>
      </c>
      <c r="G12" s="5">
        <v>0.25186154250593989</v>
      </c>
      <c r="H12" s="5">
        <v>0.18727410872775199</v>
      </c>
      <c r="I12" s="5">
        <v>5.1136754008724999E-2</v>
      </c>
      <c r="J12" s="5">
        <v>-0.198573224020788</v>
      </c>
      <c r="K12" s="5">
        <v>0.41275443705712161</v>
      </c>
      <c r="L12" s="5">
        <v>0.1514704654833699</v>
      </c>
      <c r="M12" s="5">
        <v>-0.1839694446210787</v>
      </c>
      <c r="N12" s="5">
        <v>-0.3159691911055213</v>
      </c>
      <c r="O12" s="5">
        <v>-0.25360120683722398</v>
      </c>
      <c r="P12" s="5">
        <v>-0.1085785821329974</v>
      </c>
      <c r="Q12" s="5">
        <v>-0.12124657415820191</v>
      </c>
      <c r="R12" s="5">
        <v>-0.182999709914761</v>
      </c>
      <c r="S12" s="5">
        <v>-0.25118551870490341</v>
      </c>
      <c r="T12" s="5">
        <v>-1.2955477406343801E-2</v>
      </c>
      <c r="U12" s="5">
        <v>-0.1740679283433692</v>
      </c>
      <c r="V12" s="5">
        <v>-0.28065381846941873</v>
      </c>
      <c r="W12" s="5">
        <v>0.1565175035119889</v>
      </c>
      <c r="X12" s="5">
        <v>1.9112018482762901E-2</v>
      </c>
      <c r="Y12" s="5">
        <v>-0.1068744962627414</v>
      </c>
      <c r="Z12" s="5">
        <v>-0.13654630201743309</v>
      </c>
      <c r="AA12" s="5">
        <v>-0.19109943123878359</v>
      </c>
      <c r="AB12" s="5">
        <v>0.239993589290492</v>
      </c>
      <c r="AC12" s="5">
        <v>9.65689510314615E-2</v>
      </c>
      <c r="AD12" s="5">
        <v>-0.27423183647166088</v>
      </c>
      <c r="AE12" s="5">
        <v>-2.1702103271634899E-2</v>
      </c>
      <c r="AF12" s="5">
        <v>-0.16011391291176749</v>
      </c>
      <c r="AG12" s="5">
        <v>-0.24561885879161011</v>
      </c>
      <c r="AH12" s="5">
        <v>-0.15068583257881471</v>
      </c>
      <c r="AI12" s="5">
        <v>0.22254117574490501</v>
      </c>
      <c r="AJ12" s="5">
        <v>-0.1450925769744682</v>
      </c>
      <c r="AK12" s="5">
        <v>-0.12162732201920359</v>
      </c>
      <c r="AL12" s="5">
        <v>-9.9709779801620796E-2</v>
      </c>
      <c r="AM12" s="5">
        <v>-0.17023984201769901</v>
      </c>
      <c r="AN12" s="5">
        <v>-0.14795149948852879</v>
      </c>
      <c r="AO12" s="5">
        <v>-0.2307385687317956</v>
      </c>
      <c r="AP12" s="5">
        <v>0.29919337886106617</v>
      </c>
      <c r="AQ12" s="5">
        <v>0.32250473898060211</v>
      </c>
      <c r="AR12" s="5">
        <v>-0.27226471977719718</v>
      </c>
      <c r="AS12" s="5">
        <v>-0.17743489372045371</v>
      </c>
      <c r="AT12" s="5">
        <v>-0.22297010945655679</v>
      </c>
      <c r="AU12" s="5">
        <v>0.15135733644375149</v>
      </c>
      <c r="AV12" s="5">
        <v>7.3176775734740906E-2</v>
      </c>
      <c r="AW12" s="5">
        <v>3.47284979157578E-2</v>
      </c>
      <c r="AX12" s="5">
        <v>3.5069314086628403E-2</v>
      </c>
      <c r="AY12" s="5">
        <v>0.10685621022998849</v>
      </c>
      <c r="AZ12" s="5">
        <v>-0.1865615501978338</v>
      </c>
      <c r="BA12" s="5">
        <v>-6.2926556987320997E-2</v>
      </c>
      <c r="BB12" s="5">
        <v>-0.23029522389082349</v>
      </c>
      <c r="BC12" s="5">
        <v>0.1160791468165447</v>
      </c>
    </row>
    <row r="13" spans="1:55" ht="56" customHeight="1" x14ac:dyDescent="0.35">
      <c r="A13" s="3" t="s">
        <v>81</v>
      </c>
      <c r="B13" s="3">
        <v>10</v>
      </c>
      <c r="C13" s="4" t="s">
        <v>82</v>
      </c>
      <c r="E13" s="5">
        <v>0.26362003582477728</v>
      </c>
      <c r="F13" s="5">
        <v>0.3026931076175407</v>
      </c>
      <c r="G13" s="5">
        <v>0.23806444415360509</v>
      </c>
      <c r="H13" s="5">
        <v>0.17992626466855999</v>
      </c>
      <c r="I13" s="5">
        <v>4.8082435508217801E-2</v>
      </c>
      <c r="J13" s="5">
        <v>-0.2075078105713139</v>
      </c>
      <c r="K13" s="5">
        <v>0.40533532267782052</v>
      </c>
      <c r="L13" s="5">
        <v>0.14612953703498921</v>
      </c>
      <c r="M13" s="5">
        <v>-0.18695951079153769</v>
      </c>
      <c r="N13" s="5">
        <v>-0.30672199241571368</v>
      </c>
      <c r="O13" s="5">
        <v>-0.2401872676583047</v>
      </c>
      <c r="P13" s="5">
        <v>-0.1026467596451857</v>
      </c>
      <c r="Q13" s="5">
        <v>-0.11567608708985209</v>
      </c>
      <c r="R13" s="5">
        <v>-0.1693631878549679</v>
      </c>
      <c r="S13" s="5">
        <v>-0.24638928957891121</v>
      </c>
      <c r="T13" s="5">
        <v>-1.1526114636133299E-2</v>
      </c>
      <c r="U13" s="5">
        <v>-0.1707632142597362</v>
      </c>
      <c r="V13" s="5">
        <v>-0.28786381258273819</v>
      </c>
      <c r="W13" s="5">
        <v>0.1603969124098269</v>
      </c>
      <c r="X13" s="5">
        <v>3.0886319628635299E-2</v>
      </c>
      <c r="Y13" s="5">
        <v>-0.1016218805256614</v>
      </c>
      <c r="Z13" s="5">
        <v>-0.1179476510452437</v>
      </c>
      <c r="AA13" s="5">
        <v>-0.1795181157101749</v>
      </c>
      <c r="AB13" s="5">
        <v>0.25862973811234502</v>
      </c>
      <c r="AC13" s="5">
        <v>0.1077445324144361</v>
      </c>
      <c r="AD13" s="5">
        <v>-0.28735151954269372</v>
      </c>
      <c r="AE13" s="5">
        <v>-3.5617994938619203E-2</v>
      </c>
      <c r="AF13" s="5">
        <v>-0.16791976860646099</v>
      </c>
      <c r="AG13" s="5">
        <v>-0.25417057609954052</v>
      </c>
      <c r="AH13" s="5">
        <v>-0.16280552287643391</v>
      </c>
      <c r="AI13" s="5">
        <v>0.2191987865656409</v>
      </c>
      <c r="AJ13" s="5">
        <v>-0.15526463471741739</v>
      </c>
      <c r="AK13" s="5">
        <v>-0.1352059434681937</v>
      </c>
      <c r="AL13" s="5">
        <v>-0.10406220860471151</v>
      </c>
      <c r="AM13" s="5">
        <v>-0.1396343457320551</v>
      </c>
      <c r="AN13" s="5">
        <v>-0.1160942629993886</v>
      </c>
      <c r="AO13" s="5">
        <v>-0.18980575205079439</v>
      </c>
      <c r="AP13" s="5">
        <v>0.3214719153258454</v>
      </c>
      <c r="AQ13" s="5">
        <v>0.32510669149343502</v>
      </c>
      <c r="AR13" s="5">
        <v>-0.25979901512400261</v>
      </c>
      <c r="AS13" s="5">
        <v>-0.15677920965696121</v>
      </c>
      <c r="AT13" s="5">
        <v>-0.18638449933473319</v>
      </c>
      <c r="AU13" s="5">
        <v>0.19266695697680239</v>
      </c>
      <c r="AV13" s="5">
        <v>0.1138168318798901</v>
      </c>
      <c r="AW13" s="5">
        <v>5.8443752320391798E-2</v>
      </c>
      <c r="AX13" s="5">
        <v>8.1053961357245893E-2</v>
      </c>
      <c r="AY13" s="5">
        <v>9.6130080248746599E-2</v>
      </c>
      <c r="AZ13" s="5">
        <v>-0.1946268711273664</v>
      </c>
      <c r="BA13" s="5">
        <v>-6.6958142047161204E-2</v>
      </c>
      <c r="BB13" s="5">
        <v>-0.2424240103269957</v>
      </c>
      <c r="BC13" s="5">
        <v>0.1126321412963298</v>
      </c>
    </row>
    <row r="14" spans="1:55" ht="56" customHeight="1" x14ac:dyDescent="0.35">
      <c r="A14" s="3" t="s">
        <v>83</v>
      </c>
      <c r="B14" s="3">
        <v>11</v>
      </c>
      <c r="C14" s="4" t="s">
        <v>84</v>
      </c>
      <c r="E14" s="5">
        <v>0.27106745437117269</v>
      </c>
      <c r="F14" s="5">
        <v>0.30072748318886577</v>
      </c>
      <c r="G14" s="5">
        <v>0.24320210089015171</v>
      </c>
      <c r="H14" s="5">
        <v>0.18785385939055729</v>
      </c>
      <c r="I14" s="5">
        <v>4.22122493970108E-2</v>
      </c>
      <c r="J14" s="5">
        <v>-0.1968713908253224</v>
      </c>
      <c r="K14" s="5">
        <v>0.4060514560252188</v>
      </c>
      <c r="L14" s="5">
        <v>0.14623867135767959</v>
      </c>
      <c r="M14" s="5">
        <v>-0.1910667872643925</v>
      </c>
      <c r="N14" s="5">
        <v>-0.29985700459167258</v>
      </c>
      <c r="O14" s="5">
        <v>-0.22714530108669939</v>
      </c>
      <c r="P14" s="5">
        <v>-9.1141017216489997E-2</v>
      </c>
      <c r="Q14" s="5">
        <v>-0.1064694127254095</v>
      </c>
      <c r="R14" s="5">
        <v>-0.1604868047134923</v>
      </c>
      <c r="S14" s="5">
        <v>-0.23530495843279739</v>
      </c>
      <c r="T14" s="5">
        <v>-7.4678551471000004E-3</v>
      </c>
      <c r="U14" s="5">
        <v>-0.168479235356884</v>
      </c>
      <c r="V14" s="5">
        <v>-0.28807156764576258</v>
      </c>
      <c r="W14" s="5">
        <v>0.16090438740040791</v>
      </c>
      <c r="X14" s="5">
        <v>3.9114227171395698E-2</v>
      </c>
      <c r="Y14" s="5">
        <v>-9.20024965495915E-2</v>
      </c>
      <c r="Z14" s="5">
        <v>-0.1116923755955388</v>
      </c>
      <c r="AA14" s="5">
        <v>-0.17626409495144749</v>
      </c>
      <c r="AB14" s="5">
        <v>0.26695498521076277</v>
      </c>
      <c r="AC14" s="5">
        <v>0.1111920099381084</v>
      </c>
      <c r="AD14" s="5">
        <v>-0.2946031565933</v>
      </c>
      <c r="AE14" s="5">
        <v>-4.5743718678570099E-2</v>
      </c>
      <c r="AF14" s="5">
        <v>-0.17450082251714161</v>
      </c>
      <c r="AG14" s="5">
        <v>-0.25777687696288548</v>
      </c>
      <c r="AH14" s="5">
        <v>-0.1743673244797799</v>
      </c>
      <c r="AI14" s="5">
        <v>0.21723863997851089</v>
      </c>
      <c r="AJ14" s="5">
        <v>-0.1569283811798638</v>
      </c>
      <c r="AK14" s="5">
        <v>-0.14512280116987319</v>
      </c>
      <c r="AL14" s="5">
        <v>-0.1075235754404564</v>
      </c>
      <c r="AM14" s="5">
        <v>-0.1085638159704021</v>
      </c>
      <c r="AN14" s="5">
        <v>-7.8222142246645698E-2</v>
      </c>
      <c r="AO14" s="5">
        <v>-0.14534763892110181</v>
      </c>
      <c r="AP14" s="5">
        <v>0.33647958866052002</v>
      </c>
      <c r="AQ14" s="5">
        <v>0.33846065552208821</v>
      </c>
      <c r="AR14" s="5">
        <v>-0.23338668284071359</v>
      </c>
      <c r="AS14" s="5">
        <v>-0.13778298403750511</v>
      </c>
      <c r="AT14" s="5">
        <v>-0.1466339549504429</v>
      </c>
      <c r="AU14" s="5">
        <v>0.19265747877082021</v>
      </c>
      <c r="AV14" s="5">
        <v>0.1225368788901864</v>
      </c>
      <c r="AW14" s="5">
        <v>6.0789430857351598E-2</v>
      </c>
      <c r="AX14" s="5">
        <v>9.3053486836048804E-2</v>
      </c>
      <c r="AY14" s="5">
        <v>9.1053048460241398E-2</v>
      </c>
      <c r="AZ14" s="5">
        <v>-0.18766128414443869</v>
      </c>
      <c r="BA14" s="5">
        <v>-6.0992844829119097E-2</v>
      </c>
      <c r="BB14" s="5">
        <v>-0.2311508171037529</v>
      </c>
      <c r="BC14" s="5">
        <v>0.1163262357636103</v>
      </c>
    </row>
    <row r="15" spans="1:55" ht="56" customHeight="1" x14ac:dyDescent="0.35">
      <c r="A15" s="3" t="s">
        <v>85</v>
      </c>
      <c r="B15" s="3">
        <v>12</v>
      </c>
      <c r="C15" s="4" t="s">
        <v>86</v>
      </c>
      <c r="E15" s="5">
        <v>0.2684503227131092</v>
      </c>
      <c r="F15" s="5">
        <v>0.30550793764841278</v>
      </c>
      <c r="G15" s="5">
        <v>0.23666614814416059</v>
      </c>
      <c r="H15" s="5">
        <v>0.18333488804605169</v>
      </c>
      <c r="I15" s="5">
        <v>3.8820533811352802E-2</v>
      </c>
      <c r="J15" s="5">
        <v>-0.19861917025471271</v>
      </c>
      <c r="K15" s="5">
        <v>0.40853268359128148</v>
      </c>
      <c r="L15" s="5">
        <v>0.14280520428711799</v>
      </c>
      <c r="M15" s="5">
        <v>-0.1877088103979721</v>
      </c>
      <c r="N15" s="5">
        <v>-0.29221103679065641</v>
      </c>
      <c r="O15" s="5">
        <v>-0.21785898038385779</v>
      </c>
      <c r="P15" s="5">
        <v>-8.6379270663282395E-2</v>
      </c>
      <c r="Q15" s="5">
        <v>-0.1099233796271037</v>
      </c>
      <c r="R15" s="5">
        <v>-0.15424583221482549</v>
      </c>
      <c r="S15" s="5">
        <v>-0.231188375724068</v>
      </c>
      <c r="T15" s="5">
        <v>1.8023713012443E-3</v>
      </c>
      <c r="U15" s="5">
        <v>-0.15960936540418039</v>
      </c>
      <c r="V15" s="5">
        <v>-0.28240214934763608</v>
      </c>
      <c r="W15" s="5">
        <v>0.16094580862510441</v>
      </c>
      <c r="X15" s="5">
        <v>4.5053440648877202E-2</v>
      </c>
      <c r="Y15" s="5">
        <v>-9.8267187111503299E-2</v>
      </c>
      <c r="Z15" s="5">
        <v>-0.1097008923972629</v>
      </c>
      <c r="AA15" s="5">
        <v>-0.18434045487235379</v>
      </c>
      <c r="AB15" s="5">
        <v>0.2745890789117148</v>
      </c>
      <c r="AC15" s="5">
        <v>0.11411596542276491</v>
      </c>
      <c r="AD15" s="5">
        <v>-0.30131831092554889</v>
      </c>
      <c r="AE15" s="5">
        <v>-4.9242486605513502E-2</v>
      </c>
      <c r="AF15" s="5">
        <v>-0.1780858402469957</v>
      </c>
      <c r="AG15" s="5">
        <v>-0.2638378314268045</v>
      </c>
      <c r="AH15" s="5">
        <v>-0.17918755868397601</v>
      </c>
      <c r="AI15" s="5">
        <v>0.21767535834239199</v>
      </c>
      <c r="AJ15" s="5">
        <v>-0.1580964999025857</v>
      </c>
      <c r="AK15" s="5">
        <v>-0.1497870637179112</v>
      </c>
      <c r="AL15" s="5">
        <v>-0.10806201689180581</v>
      </c>
      <c r="AM15" s="5">
        <v>-9.7113967527579698E-2</v>
      </c>
      <c r="AN15" s="5">
        <v>-6.8143296967307199E-2</v>
      </c>
      <c r="AO15" s="5">
        <v>-0.13258333261434591</v>
      </c>
      <c r="AP15" s="5">
        <v>0.35758146436065391</v>
      </c>
      <c r="AQ15" s="5">
        <v>0.3551070215857916</v>
      </c>
      <c r="AR15" s="5">
        <v>-0.22962109430529209</v>
      </c>
      <c r="AS15" s="5">
        <v>-0.12542588091471429</v>
      </c>
      <c r="AT15" s="5">
        <v>-0.1305170511178381</v>
      </c>
      <c r="AU15" s="5">
        <v>0.1898949052029163</v>
      </c>
      <c r="AV15" s="5">
        <v>0.1196640668694491</v>
      </c>
      <c r="AW15" s="5">
        <v>5.2532674442718398E-2</v>
      </c>
      <c r="AX15" s="5">
        <v>9.2329609135354707E-2</v>
      </c>
      <c r="AY15" s="5">
        <v>7.1346169748960797E-2</v>
      </c>
      <c r="AZ15" s="5">
        <v>-0.20692029389468891</v>
      </c>
      <c r="BA15" s="5">
        <v>-7.3355784663380497E-2</v>
      </c>
      <c r="BB15" s="5">
        <v>-0.23988481275066029</v>
      </c>
      <c r="BC15" s="5">
        <v>0.11000468740081069</v>
      </c>
    </row>
    <row r="16" spans="1:55" ht="56" customHeight="1" x14ac:dyDescent="0.35">
      <c r="A16" s="3" t="s">
        <v>87</v>
      </c>
      <c r="B16" s="3">
        <v>13</v>
      </c>
      <c r="C16" s="4" t="s">
        <v>88</v>
      </c>
      <c r="E16" s="5">
        <v>0.31489576703190419</v>
      </c>
      <c r="F16" s="5">
        <v>0.3292065858375377</v>
      </c>
      <c r="G16" s="5">
        <v>0.26921929889600699</v>
      </c>
      <c r="H16" s="5">
        <v>0.2149113623413042</v>
      </c>
      <c r="I16" s="5">
        <v>4.80385935020382E-2</v>
      </c>
      <c r="J16" s="5">
        <v>-0.18184183138335019</v>
      </c>
      <c r="K16" s="5">
        <v>0.42020198042594331</v>
      </c>
      <c r="L16" s="5">
        <v>0.16154865332590751</v>
      </c>
      <c r="M16" s="5">
        <v>-0.1972753426722875</v>
      </c>
      <c r="N16" s="5">
        <v>-0.30458089228910501</v>
      </c>
      <c r="O16" s="5">
        <v>-0.2350472811269331</v>
      </c>
      <c r="P16" s="5">
        <v>-9.5943409513890798E-2</v>
      </c>
      <c r="Q16" s="5">
        <v>-0.1074391416041276</v>
      </c>
      <c r="R16" s="5">
        <v>-0.1728863604781902</v>
      </c>
      <c r="S16" s="5">
        <v>-0.22534575090401371</v>
      </c>
      <c r="T16" s="5">
        <v>-1.2525110727240401E-2</v>
      </c>
      <c r="U16" s="5">
        <v>-0.1716966624902278</v>
      </c>
      <c r="V16" s="5">
        <v>-0.27821824340797369</v>
      </c>
      <c r="W16" s="5">
        <v>0.15368314228083951</v>
      </c>
      <c r="X16" s="5">
        <v>2.6383738124931999E-2</v>
      </c>
      <c r="Y16" s="5">
        <v>-9.7379478535960004E-2</v>
      </c>
      <c r="Z16" s="5">
        <v>-0.1342154968641347</v>
      </c>
      <c r="AA16" s="5">
        <v>-0.1914419879347854</v>
      </c>
      <c r="AB16" s="5">
        <v>0.2451154113624629</v>
      </c>
      <c r="AC16" s="5">
        <v>9.3724988603836795E-2</v>
      </c>
      <c r="AD16" s="5">
        <v>-0.29725050675820341</v>
      </c>
      <c r="AE16" s="5">
        <v>-3.9177659454968303E-2</v>
      </c>
      <c r="AF16" s="5">
        <v>-0.1785684427791755</v>
      </c>
      <c r="AG16" s="5">
        <v>-0.26539430860604191</v>
      </c>
      <c r="AH16" s="5">
        <v>-0.1784204064106894</v>
      </c>
      <c r="AI16" s="5">
        <v>0.21952062128084571</v>
      </c>
      <c r="AJ16" s="5">
        <v>-0.14948832608339929</v>
      </c>
      <c r="AK16" s="5">
        <v>-0.14408949065252599</v>
      </c>
      <c r="AL16" s="5">
        <v>-0.10852424390357809</v>
      </c>
      <c r="AM16" s="5">
        <v>-0.1207156540382643</v>
      </c>
      <c r="AN16" s="5">
        <v>-8.15699169439041E-2</v>
      </c>
      <c r="AO16" s="5">
        <v>-0.15747093087241651</v>
      </c>
      <c r="AP16" s="5">
        <v>0.31713772100116128</v>
      </c>
      <c r="AQ16" s="5">
        <v>0.36387829938435678</v>
      </c>
      <c r="AR16" s="5">
        <v>-0.23211169050807601</v>
      </c>
      <c r="AS16" s="5">
        <v>-0.14152284601501081</v>
      </c>
      <c r="AT16" s="5">
        <v>-0.16009043687313429</v>
      </c>
      <c r="AU16" s="5">
        <v>0.13402884899486539</v>
      </c>
      <c r="AV16" s="5">
        <v>6.8309834521836005E-2</v>
      </c>
      <c r="AW16" s="5">
        <v>2.7999569836869499E-2</v>
      </c>
      <c r="AX16" s="5">
        <v>4.0159897671348997E-2</v>
      </c>
      <c r="AY16" s="5">
        <v>9.57633100089295E-2</v>
      </c>
      <c r="AZ16" s="5">
        <v>-0.17864470845289451</v>
      </c>
      <c r="BA16" s="5">
        <v>-5.3073438840705103E-2</v>
      </c>
      <c r="BB16" s="5">
        <v>-0.2022642105263241</v>
      </c>
      <c r="BC16" s="5">
        <v>0.1246470424328178</v>
      </c>
    </row>
    <row r="17" spans="1:55" ht="56" customHeight="1" x14ac:dyDescent="0.35">
      <c r="A17" s="3" t="s">
        <v>89</v>
      </c>
      <c r="B17" s="3">
        <v>14</v>
      </c>
      <c r="C17" s="4" t="s">
        <v>90</v>
      </c>
      <c r="E17" s="5">
        <v>0.35289658745174751</v>
      </c>
      <c r="F17" s="5">
        <v>0.34749198111455892</v>
      </c>
      <c r="G17" s="5">
        <v>0.29081502101414691</v>
      </c>
      <c r="H17" s="5">
        <v>0.2386623794473873</v>
      </c>
      <c r="I17" s="5">
        <v>4.2395947236905103E-2</v>
      </c>
      <c r="J17" s="5">
        <v>-0.15109720753775749</v>
      </c>
      <c r="K17" s="5">
        <v>0.42773100610376719</v>
      </c>
      <c r="L17" s="5">
        <v>0.17329870526973401</v>
      </c>
      <c r="M17" s="5">
        <v>-0.1938692342095775</v>
      </c>
      <c r="N17" s="5">
        <v>-0.30161368437115438</v>
      </c>
      <c r="O17" s="5">
        <v>-0.23064796782721519</v>
      </c>
      <c r="P17" s="5">
        <v>-8.8851340210840304E-2</v>
      </c>
      <c r="Q17" s="5">
        <v>-0.103857046380967</v>
      </c>
      <c r="R17" s="5">
        <v>-0.17421029564302859</v>
      </c>
      <c r="S17" s="5">
        <v>-0.20697784264936989</v>
      </c>
      <c r="T17" s="5">
        <v>-1.17753521575516E-2</v>
      </c>
      <c r="U17" s="5">
        <v>-0.17016591024346059</v>
      </c>
      <c r="V17" s="5">
        <v>-0.25798757684604462</v>
      </c>
      <c r="W17" s="5">
        <v>0.1547312958413368</v>
      </c>
      <c r="X17" s="5">
        <v>2.4886424569341099E-2</v>
      </c>
      <c r="Y17" s="5">
        <v>-7.7184783658005102E-2</v>
      </c>
      <c r="Z17" s="5">
        <v>-0.1395071324688052</v>
      </c>
      <c r="AA17" s="5">
        <v>-0.1894772384064542</v>
      </c>
      <c r="AB17" s="5">
        <v>0.2292022643754543</v>
      </c>
      <c r="AC17" s="5">
        <v>8.7677904468685106E-2</v>
      </c>
      <c r="AD17" s="5">
        <v>-0.28961960295088551</v>
      </c>
      <c r="AE17" s="5">
        <v>-3.0636774670081399E-2</v>
      </c>
      <c r="AF17" s="5">
        <v>-0.17379709419325071</v>
      </c>
      <c r="AG17" s="5">
        <v>-0.26020422592085157</v>
      </c>
      <c r="AH17" s="5">
        <v>-0.1738782970565021</v>
      </c>
      <c r="AI17" s="5">
        <v>0.21394021157641191</v>
      </c>
      <c r="AJ17" s="5">
        <v>-0.138290033368386</v>
      </c>
      <c r="AK17" s="5">
        <v>-0.13696520188746461</v>
      </c>
      <c r="AL17" s="5">
        <v>-0.1008037426933933</v>
      </c>
      <c r="AM17" s="5">
        <v>-0.1049049728436758</v>
      </c>
      <c r="AN17" s="5">
        <v>-5.2315550088089198E-2</v>
      </c>
      <c r="AO17" s="5">
        <v>-0.1332354672930107</v>
      </c>
      <c r="AP17" s="5">
        <v>0.297511050224261</v>
      </c>
      <c r="AQ17" s="5">
        <v>0.38042458752204511</v>
      </c>
      <c r="AR17" s="5">
        <v>-0.19966652569745841</v>
      </c>
      <c r="AS17" s="5">
        <v>-0.13057092307066609</v>
      </c>
      <c r="AT17" s="5">
        <v>-0.14117173209465109</v>
      </c>
      <c r="AU17" s="5">
        <v>6.2428025979587999E-2</v>
      </c>
      <c r="AV17" s="5">
        <v>2.3346503136034799E-2</v>
      </c>
      <c r="AW17" s="5">
        <v>-2.8957661696725999E-3</v>
      </c>
      <c r="AX17" s="5">
        <v>-1.0895943708537E-2</v>
      </c>
      <c r="AY17" s="5">
        <v>9.6059787248388803E-2</v>
      </c>
      <c r="AZ17" s="5">
        <v>-0.1592525008078976</v>
      </c>
      <c r="BA17" s="5">
        <v>-3.5292660299085198E-2</v>
      </c>
      <c r="BB17" s="5">
        <v>-0.1735999053937341</v>
      </c>
      <c r="BC17" s="5">
        <v>0.13327569079475529</v>
      </c>
    </row>
    <row r="18" spans="1:55" ht="56" customHeight="1" x14ac:dyDescent="0.35">
      <c r="A18" s="3" t="s">
        <v>91</v>
      </c>
      <c r="B18" s="3">
        <v>15</v>
      </c>
      <c r="C18" s="4" t="s">
        <v>92</v>
      </c>
      <c r="E18" s="5">
        <v>0.3698618149449554</v>
      </c>
      <c r="F18" s="5">
        <v>0.35719777590960411</v>
      </c>
      <c r="G18" s="5">
        <v>0.3082614402329098</v>
      </c>
      <c r="H18" s="5">
        <v>0.24907707842467169</v>
      </c>
      <c r="I18" s="5">
        <v>4.7224052008835803E-2</v>
      </c>
      <c r="J18" s="5">
        <v>-0.15630731943581971</v>
      </c>
      <c r="K18" s="5">
        <v>0.42086778503520289</v>
      </c>
      <c r="L18" s="5">
        <v>0.18551078930821299</v>
      </c>
      <c r="M18" s="5">
        <v>-0.2019389173621072</v>
      </c>
      <c r="N18" s="5">
        <v>-0.31437302151383428</v>
      </c>
      <c r="O18" s="5">
        <v>-0.24982522173383881</v>
      </c>
      <c r="P18" s="5">
        <v>-0.1039893614160045</v>
      </c>
      <c r="Q18" s="5">
        <v>-0.115220408282264</v>
      </c>
      <c r="R18" s="5">
        <v>-0.19169334934229049</v>
      </c>
      <c r="S18" s="5">
        <v>-0.21180347730244151</v>
      </c>
      <c r="T18" s="5">
        <v>-2.3884905977706698E-2</v>
      </c>
      <c r="U18" s="5">
        <v>-0.18281438595630189</v>
      </c>
      <c r="V18" s="5">
        <v>-0.26273758170801748</v>
      </c>
      <c r="W18" s="5">
        <v>0.14982234520904711</v>
      </c>
      <c r="X18" s="5">
        <v>1.1962791533089301E-2</v>
      </c>
      <c r="Y18" s="5">
        <v>-8.4820343835076001E-2</v>
      </c>
      <c r="Z18" s="5">
        <v>-0.15360008104441189</v>
      </c>
      <c r="AA18" s="5">
        <v>-0.19582765416356679</v>
      </c>
      <c r="AB18" s="5">
        <v>0.21277688671221431</v>
      </c>
      <c r="AC18" s="5">
        <v>8.2268688287454497E-2</v>
      </c>
      <c r="AD18" s="5">
        <v>-0.29117215437148719</v>
      </c>
      <c r="AE18" s="5">
        <v>-2.8889427723442301E-2</v>
      </c>
      <c r="AF18" s="5">
        <v>-0.1738502720308665</v>
      </c>
      <c r="AG18" s="5">
        <v>-0.2639562262841974</v>
      </c>
      <c r="AH18" s="5">
        <v>-0.1698912813017289</v>
      </c>
      <c r="AI18" s="5">
        <v>0.21243079162201059</v>
      </c>
      <c r="AJ18" s="5">
        <v>-0.14285885152788921</v>
      </c>
      <c r="AK18" s="5">
        <v>-0.1339982051242137</v>
      </c>
      <c r="AL18" s="5">
        <v>-0.1069494956014965</v>
      </c>
      <c r="AM18" s="5">
        <v>-0.12824601800590779</v>
      </c>
      <c r="AN18" s="5">
        <v>-7.0620728207321903E-2</v>
      </c>
      <c r="AO18" s="5">
        <v>-0.16107674874366171</v>
      </c>
      <c r="AP18" s="5">
        <v>0.27535192468477238</v>
      </c>
      <c r="AQ18" s="5">
        <v>0.37764211273632758</v>
      </c>
      <c r="AR18" s="5">
        <v>-0.21156931614514879</v>
      </c>
      <c r="AS18" s="5">
        <v>-0.14368445676981079</v>
      </c>
      <c r="AT18" s="5">
        <v>-0.17306995334330069</v>
      </c>
      <c r="AU18" s="5">
        <v>4.6180371300001001E-2</v>
      </c>
      <c r="AV18" s="5">
        <v>1.1574254094897001E-3</v>
      </c>
      <c r="AW18" s="5">
        <v>-8.9371720554539003E-3</v>
      </c>
      <c r="AX18" s="5">
        <v>-3.3579677498449499E-2</v>
      </c>
      <c r="AY18" s="5">
        <v>0.11495924234862601</v>
      </c>
      <c r="AZ18" s="5">
        <v>-0.14439473510194969</v>
      </c>
      <c r="BA18" s="5">
        <v>-2.7586973686790101E-2</v>
      </c>
      <c r="BB18" s="5">
        <v>-0.1590385024772038</v>
      </c>
      <c r="BC18" s="5">
        <v>0.14805529992188099</v>
      </c>
    </row>
    <row r="19" spans="1:55" ht="56" customHeight="1" x14ac:dyDescent="0.35">
      <c r="A19" s="3" t="s">
        <v>93</v>
      </c>
      <c r="B19" s="3">
        <v>16</v>
      </c>
      <c r="C19" s="4" t="s">
        <v>94</v>
      </c>
      <c r="E19" s="5">
        <v>0.37501023622021168</v>
      </c>
      <c r="F19" s="5">
        <v>0.36764034599222201</v>
      </c>
      <c r="G19" s="5">
        <v>0.31221814496203532</v>
      </c>
      <c r="H19" s="5">
        <v>0.24989471413839939</v>
      </c>
      <c r="I19" s="5">
        <v>4.14289331163189E-2</v>
      </c>
      <c r="J19" s="5">
        <v>-0.1446234713446842</v>
      </c>
      <c r="K19" s="5">
        <v>0.42191381511046688</v>
      </c>
      <c r="L19" s="5">
        <v>0.18752638041538941</v>
      </c>
      <c r="M19" s="5">
        <v>-0.19837970436129049</v>
      </c>
      <c r="N19" s="5">
        <v>-0.31752905893343658</v>
      </c>
      <c r="O19" s="5">
        <v>-0.24462825482997611</v>
      </c>
      <c r="P19" s="5">
        <v>-9.8628080406266097E-2</v>
      </c>
      <c r="Q19" s="5">
        <v>-0.1170944552412725</v>
      </c>
      <c r="R19" s="5">
        <v>-0.1857418755207329</v>
      </c>
      <c r="S19" s="5">
        <v>-0.20812966328634669</v>
      </c>
      <c r="T19" s="5">
        <v>-1.64748769693705E-2</v>
      </c>
      <c r="U19" s="5">
        <v>-0.1730583495116092</v>
      </c>
      <c r="V19" s="5">
        <v>-0.24936007992970469</v>
      </c>
      <c r="W19" s="5">
        <v>0.16820402717732569</v>
      </c>
      <c r="X19" s="5">
        <v>2.5014716999110301E-2</v>
      </c>
      <c r="Y19" s="5">
        <v>-6.42894914509438E-2</v>
      </c>
      <c r="Z19" s="5">
        <v>-0.1472229711729198</v>
      </c>
      <c r="AA19" s="5">
        <v>-0.1870192810116478</v>
      </c>
      <c r="AB19" s="5">
        <v>0.22162377587862561</v>
      </c>
      <c r="AC19" s="5">
        <v>9.1890109305046694E-2</v>
      </c>
      <c r="AD19" s="5">
        <v>-0.27976716012805308</v>
      </c>
      <c r="AE19" s="5">
        <v>-2.0107962033223299E-2</v>
      </c>
      <c r="AF19" s="5">
        <v>-0.16935082981428271</v>
      </c>
      <c r="AG19" s="5">
        <v>-0.2528203179355818</v>
      </c>
      <c r="AH19" s="5">
        <v>-0.1594341884411245</v>
      </c>
      <c r="AI19" s="5">
        <v>0.2177492006487689</v>
      </c>
      <c r="AJ19" s="5">
        <v>-0.13203941653452961</v>
      </c>
      <c r="AK19" s="5">
        <v>-0.1254025114431872</v>
      </c>
      <c r="AL19" s="5">
        <v>-9.2034342758307797E-2</v>
      </c>
      <c r="AM19" s="5">
        <v>-0.13826250122870309</v>
      </c>
      <c r="AN19" s="5">
        <v>-8.0832144741339901E-2</v>
      </c>
      <c r="AO19" s="5">
        <v>-0.17225786777064961</v>
      </c>
      <c r="AP19" s="5">
        <v>0.28980213260346188</v>
      </c>
      <c r="AQ19" s="5">
        <v>0.37278981293310243</v>
      </c>
      <c r="AR19" s="5">
        <v>-0.2064317775524738</v>
      </c>
      <c r="AS19" s="5">
        <v>-0.1545545396080138</v>
      </c>
      <c r="AT19" s="5">
        <v>-0.17942477688658909</v>
      </c>
      <c r="AU19" s="5">
        <v>1.1729477920299099E-2</v>
      </c>
      <c r="AV19" s="5">
        <v>-1.6677579781498902E-2</v>
      </c>
      <c r="AW19" s="5">
        <v>-3.2111667369120397E-2</v>
      </c>
      <c r="AX19" s="5">
        <v>-6.55915549893719E-2</v>
      </c>
      <c r="AY19" s="5">
        <v>0.1120928152667701</v>
      </c>
      <c r="AZ19" s="5">
        <v>-0.14883230424232469</v>
      </c>
      <c r="BA19" s="5">
        <v>-2.1817603296024699E-2</v>
      </c>
      <c r="BB19" s="5">
        <v>-0.16366939394783389</v>
      </c>
      <c r="BC19" s="5">
        <v>0.15095856732167101</v>
      </c>
    </row>
    <row r="20" spans="1:55" ht="56" customHeight="1" x14ac:dyDescent="0.35">
      <c r="A20" s="3" t="s">
        <v>95</v>
      </c>
      <c r="B20" s="3">
        <v>17</v>
      </c>
      <c r="C20" s="4" t="s">
        <v>96</v>
      </c>
      <c r="E20" s="5">
        <v>0.37167615831519801</v>
      </c>
      <c r="F20" s="5">
        <v>0.36737186412458972</v>
      </c>
      <c r="G20" s="5">
        <v>0.30741245163496111</v>
      </c>
      <c r="H20" s="5">
        <v>0.24546431224572579</v>
      </c>
      <c r="I20" s="5">
        <v>2.8885173516315699E-2</v>
      </c>
      <c r="J20" s="5">
        <v>-0.124108160802473</v>
      </c>
      <c r="K20" s="5">
        <v>0.41963635338102678</v>
      </c>
      <c r="L20" s="5">
        <v>0.18439683734438561</v>
      </c>
      <c r="M20" s="5">
        <v>-0.1892712771532761</v>
      </c>
      <c r="N20" s="5">
        <v>-0.31222566489565828</v>
      </c>
      <c r="O20" s="5">
        <v>-0.2287038921057164</v>
      </c>
      <c r="P20" s="5">
        <v>-8.5174444766267496E-2</v>
      </c>
      <c r="Q20" s="5">
        <v>-0.1113584890726623</v>
      </c>
      <c r="R20" s="5">
        <v>-0.1715594814608902</v>
      </c>
      <c r="S20" s="5">
        <v>-0.19687864231393529</v>
      </c>
      <c r="T20" s="5">
        <v>-8.1463032777149003E-3</v>
      </c>
      <c r="U20" s="5">
        <v>-0.16139222712671869</v>
      </c>
      <c r="V20" s="5">
        <v>-0.2312473302047969</v>
      </c>
      <c r="W20" s="5">
        <v>0.1869280843348867</v>
      </c>
      <c r="X20" s="5">
        <v>4.3332259058123303E-2</v>
      </c>
      <c r="Y20" s="5">
        <v>-3.2065498030658897E-2</v>
      </c>
      <c r="Z20" s="5">
        <v>-0.12996323141778199</v>
      </c>
      <c r="AA20" s="5">
        <v>-0.16976904995926309</v>
      </c>
      <c r="AB20" s="5">
        <v>0.23307596991165669</v>
      </c>
      <c r="AC20" s="5">
        <v>0.10431906455712001</v>
      </c>
      <c r="AD20" s="5">
        <v>-0.26366068239043161</v>
      </c>
      <c r="AE20" s="5">
        <v>-1.1889893530509101E-2</v>
      </c>
      <c r="AF20" s="5">
        <v>-0.1600402460961195</v>
      </c>
      <c r="AG20" s="5">
        <v>-0.2368126310738678</v>
      </c>
      <c r="AH20" s="5">
        <v>-0.14928183972379011</v>
      </c>
      <c r="AI20" s="5">
        <v>0.21675850587795051</v>
      </c>
      <c r="AJ20" s="5">
        <v>-0.1173209936618029</v>
      </c>
      <c r="AK20" s="5">
        <v>-0.11536645794452639</v>
      </c>
      <c r="AL20" s="5">
        <v>-7.6881777952704206E-2</v>
      </c>
      <c r="AM20" s="5">
        <v>-0.1251375674228993</v>
      </c>
      <c r="AN20" s="5">
        <v>-6.7946390629149797E-2</v>
      </c>
      <c r="AO20" s="5">
        <v>-0.1543269819741504</v>
      </c>
      <c r="AP20" s="5">
        <v>0.29880622089822118</v>
      </c>
      <c r="AQ20" s="5">
        <v>0.36572498843800239</v>
      </c>
      <c r="AR20" s="5">
        <v>-0.1799533291228983</v>
      </c>
      <c r="AS20" s="5">
        <v>-0.15409424504325619</v>
      </c>
      <c r="AT20" s="5">
        <v>-0.16133771353746121</v>
      </c>
      <c r="AU20" s="5">
        <v>-1.8865037235277399E-2</v>
      </c>
      <c r="AV20" s="5">
        <v>-2.1110148634259501E-2</v>
      </c>
      <c r="AW20" s="5">
        <v>-4.7476239660018002E-2</v>
      </c>
      <c r="AX20" s="5">
        <v>-8.4037899356642201E-2</v>
      </c>
      <c r="AY20" s="5">
        <v>0.1037929236099725</v>
      </c>
      <c r="AZ20" s="5">
        <v>-0.14675335124975961</v>
      </c>
      <c r="BA20" s="5">
        <v>-1.19491715630525E-2</v>
      </c>
      <c r="BB20" s="5">
        <v>-0.1676567094370473</v>
      </c>
      <c r="BC20" s="5">
        <v>0.15024414569055691</v>
      </c>
    </row>
    <row r="21" spans="1:55" ht="56" customHeight="1" x14ac:dyDescent="0.35">
      <c r="A21" s="3" t="s">
        <v>97</v>
      </c>
      <c r="B21" s="3">
        <v>18</v>
      </c>
      <c r="C21" s="4" t="s">
        <v>98</v>
      </c>
      <c r="E21" s="5">
        <v>0.36669513593338599</v>
      </c>
      <c r="F21" s="5">
        <v>0.36456481756102749</v>
      </c>
      <c r="G21" s="5">
        <v>0.30543871318405907</v>
      </c>
      <c r="H21" s="5">
        <v>0.2470287070888243</v>
      </c>
      <c r="I21" s="5">
        <v>3.8631975038875201E-2</v>
      </c>
      <c r="J21" s="5">
        <v>-0.1356543639376093</v>
      </c>
      <c r="K21" s="5">
        <v>0.41442357743473868</v>
      </c>
      <c r="L21" s="5">
        <v>0.18611402013510581</v>
      </c>
      <c r="M21" s="5">
        <v>-0.20283348423441541</v>
      </c>
      <c r="N21" s="5">
        <v>-0.32046146210010279</v>
      </c>
      <c r="O21" s="5">
        <v>-0.2445688493408468</v>
      </c>
      <c r="P21" s="5">
        <v>-0.1024366937133382</v>
      </c>
      <c r="Q21" s="5">
        <v>-0.1151634727346891</v>
      </c>
      <c r="R21" s="5">
        <v>-0.1864322251108102</v>
      </c>
      <c r="S21" s="5">
        <v>-0.2026455056817292</v>
      </c>
      <c r="T21" s="5">
        <v>-2.8714892233466599E-2</v>
      </c>
      <c r="U21" s="5">
        <v>-0.1812051015972026</v>
      </c>
      <c r="V21" s="5">
        <v>-0.2477372612838315</v>
      </c>
      <c r="W21" s="5">
        <v>0.17938988526253899</v>
      </c>
      <c r="X21" s="5">
        <v>3.2633992428384502E-2</v>
      </c>
      <c r="Y21" s="5">
        <v>-4.4865002207269702E-2</v>
      </c>
      <c r="Z21" s="5">
        <v>-0.13714502007669721</v>
      </c>
      <c r="AA21" s="5">
        <v>-0.16961420255998849</v>
      </c>
      <c r="AB21" s="5">
        <v>0.2270669899113392</v>
      </c>
      <c r="AC21" s="5">
        <v>9.9445600472585202E-2</v>
      </c>
      <c r="AD21" s="5">
        <v>-0.27571307319596799</v>
      </c>
      <c r="AE21" s="5">
        <v>-1.8433940973380601E-2</v>
      </c>
      <c r="AF21" s="5">
        <v>-0.16501512032916801</v>
      </c>
      <c r="AG21" s="5">
        <v>-0.2466294571285074</v>
      </c>
      <c r="AH21" s="5">
        <v>-0.15829268768395729</v>
      </c>
      <c r="AI21" s="5">
        <v>0.21417345517567499</v>
      </c>
      <c r="AJ21" s="5">
        <v>-0.133209465450075</v>
      </c>
      <c r="AK21" s="5">
        <v>-0.1202482350299616</v>
      </c>
      <c r="AL21" s="5">
        <v>-8.5783234469990505E-2</v>
      </c>
      <c r="AM21" s="5">
        <v>-0.1353467833771623</v>
      </c>
      <c r="AN21" s="5">
        <v>-7.7464828661896898E-2</v>
      </c>
      <c r="AO21" s="5">
        <v>-0.15908638415225179</v>
      </c>
      <c r="AP21" s="5">
        <v>0.27285522241345578</v>
      </c>
      <c r="AQ21" s="5">
        <v>0.3552506071196731</v>
      </c>
      <c r="AR21" s="5">
        <v>-0.18882893905545681</v>
      </c>
      <c r="AS21" s="5">
        <v>-0.1563081546559828</v>
      </c>
      <c r="AT21" s="5">
        <v>-0.17851621127804379</v>
      </c>
      <c r="AU21" s="5">
        <v>1.8342629004713298E-2</v>
      </c>
      <c r="AV21" s="5">
        <v>1.374930227497064E-5</v>
      </c>
      <c r="AW21" s="5">
        <v>-2.0272462256532699E-2</v>
      </c>
      <c r="AX21" s="5">
        <v>-5.0839089029538001E-2</v>
      </c>
      <c r="AY21" s="5">
        <v>0.1177584911621733</v>
      </c>
      <c r="AZ21" s="5">
        <v>-0.13849252829799519</v>
      </c>
      <c r="BA21" s="5">
        <v>-1.23244575780829E-2</v>
      </c>
      <c r="BB21" s="5">
        <v>-0.16821210703080861</v>
      </c>
      <c r="BC21" s="5">
        <v>0.15082761590381619</v>
      </c>
    </row>
    <row r="22" spans="1:55" ht="56" customHeight="1" x14ac:dyDescent="0.35">
      <c r="A22" s="3" t="s">
        <v>99</v>
      </c>
      <c r="B22" s="3">
        <v>19</v>
      </c>
      <c r="C22" s="4" t="s">
        <v>100</v>
      </c>
      <c r="E22" s="5">
        <v>0.39894527259763318</v>
      </c>
      <c r="F22" s="5">
        <v>0.36605852908700071</v>
      </c>
      <c r="G22" s="5">
        <v>0.34953336221752829</v>
      </c>
      <c r="H22" s="5">
        <v>0.27101931699911241</v>
      </c>
      <c r="I22" s="5">
        <v>6.5052153328199899E-2</v>
      </c>
      <c r="J22" s="5">
        <v>-0.13699665058681429</v>
      </c>
      <c r="K22" s="5">
        <v>0.35538509868027718</v>
      </c>
      <c r="L22" s="5">
        <v>0.20582368812010951</v>
      </c>
      <c r="M22" s="5">
        <v>-0.2467659297804812</v>
      </c>
      <c r="N22" s="5">
        <v>-0.34676137257967737</v>
      </c>
      <c r="O22" s="5">
        <v>-0.30781198777429952</v>
      </c>
      <c r="P22" s="5">
        <v>-0.15957644671694199</v>
      </c>
      <c r="Q22" s="5">
        <v>-0.140185728247713</v>
      </c>
      <c r="R22" s="5">
        <v>-0.2507605468771601</v>
      </c>
      <c r="S22" s="5">
        <v>-0.19561048958977181</v>
      </c>
      <c r="T22" s="5">
        <v>-9.6399303361271199E-2</v>
      </c>
      <c r="U22" s="5">
        <v>-0.24620892963316049</v>
      </c>
      <c r="V22" s="5">
        <v>-0.27915959204681939</v>
      </c>
      <c r="W22" s="5">
        <v>0.1288350165901562</v>
      </c>
      <c r="X22" s="5">
        <v>-2.22678486315585E-2</v>
      </c>
      <c r="Y22" s="5">
        <v>-6.8913934332742996E-2</v>
      </c>
      <c r="Z22" s="5">
        <v>-0.1742834537145366</v>
      </c>
      <c r="AA22" s="5">
        <v>-0.1799514090030703</v>
      </c>
      <c r="AB22" s="5">
        <v>0.16476286248613489</v>
      </c>
      <c r="AC22" s="5">
        <v>6.9017757921272294E-2</v>
      </c>
      <c r="AD22" s="5">
        <v>-0.297333711818419</v>
      </c>
      <c r="AE22" s="5">
        <v>-5.0209304324799003E-2</v>
      </c>
      <c r="AF22" s="5">
        <v>-0.18174919182683799</v>
      </c>
      <c r="AG22" s="5">
        <v>-0.26520293011777829</v>
      </c>
      <c r="AH22" s="5">
        <v>-0.1727846733277191</v>
      </c>
      <c r="AI22" s="5">
        <v>0.1792941413299016</v>
      </c>
      <c r="AJ22" s="5">
        <v>-0.15928522169365189</v>
      </c>
      <c r="AK22" s="5">
        <v>-0.1298964455961569</v>
      </c>
      <c r="AL22" s="5">
        <v>-0.1222322481050747</v>
      </c>
      <c r="AM22" s="5">
        <v>-0.169638764102374</v>
      </c>
      <c r="AN22" s="5">
        <v>-8.9893245794264803E-2</v>
      </c>
      <c r="AO22" s="5">
        <v>-0.17045154828037939</v>
      </c>
      <c r="AP22" s="5">
        <v>0.1573766270831623</v>
      </c>
      <c r="AQ22" s="5">
        <v>0.30235564314791707</v>
      </c>
      <c r="AR22" s="5">
        <v>-0.18116008535917821</v>
      </c>
      <c r="AS22" s="5">
        <v>-0.15988363201092501</v>
      </c>
      <c r="AT22" s="5">
        <v>-0.23505500178406849</v>
      </c>
      <c r="AU22" s="5">
        <v>1.7619140974619699E-2</v>
      </c>
      <c r="AV22" s="5">
        <v>-2.3613709109238101E-2</v>
      </c>
      <c r="AW22" s="5">
        <v>1.27304728613028E-2</v>
      </c>
      <c r="AX22" s="5">
        <v>-5.8575881315967401E-2</v>
      </c>
      <c r="AY22" s="5">
        <v>0.19404200072080849</v>
      </c>
      <c r="AZ22" s="5">
        <v>-4.5053115152108601E-2</v>
      </c>
      <c r="BA22" s="5">
        <v>2.3121906586211001E-2</v>
      </c>
      <c r="BB22" s="5">
        <v>-9.0327388169057096E-2</v>
      </c>
      <c r="BC22" s="5">
        <v>0.19893475222249449</v>
      </c>
    </row>
    <row r="23" spans="1:55" ht="56" customHeight="1" x14ac:dyDescent="0.35">
      <c r="A23" s="3" t="s">
        <v>101</v>
      </c>
      <c r="B23" s="3">
        <v>20</v>
      </c>
      <c r="C23" s="4" t="s">
        <v>102</v>
      </c>
      <c r="E23" s="5">
        <v>0.39291296553694172</v>
      </c>
      <c r="F23" s="5">
        <v>0.33215124785214589</v>
      </c>
      <c r="G23" s="5">
        <v>0.34224683873363271</v>
      </c>
      <c r="H23" s="5">
        <v>0.28252524201071028</v>
      </c>
      <c r="I23" s="5">
        <v>0.1055592073146885</v>
      </c>
      <c r="J23" s="5">
        <v>-0.18567091123228899</v>
      </c>
      <c r="K23" s="5">
        <v>0.2586632216093247</v>
      </c>
      <c r="L23" s="5">
        <v>0.2050776192333012</v>
      </c>
      <c r="M23" s="5">
        <v>-0.2894980079873149</v>
      </c>
      <c r="N23" s="5">
        <v>-0.3539481218211189</v>
      </c>
      <c r="O23" s="5">
        <v>-0.3636253745861841</v>
      </c>
      <c r="P23" s="5">
        <v>-0.2315387406322178</v>
      </c>
      <c r="Q23" s="5">
        <v>-0.15582502917315399</v>
      </c>
      <c r="R23" s="5">
        <v>-0.30241502315787538</v>
      </c>
      <c r="S23" s="5">
        <v>-0.1867244926288828</v>
      </c>
      <c r="T23" s="5">
        <v>-0.19443848647936279</v>
      </c>
      <c r="U23" s="5">
        <v>-0.3092052867904681</v>
      </c>
      <c r="V23" s="5">
        <v>-0.31869908424564519</v>
      </c>
      <c r="W23" s="5">
        <v>4.2406719294821503E-2</v>
      </c>
      <c r="X23" s="5">
        <v>-8.6569949127529605E-2</v>
      </c>
      <c r="Y23" s="5">
        <v>-0.1074052464746396</v>
      </c>
      <c r="Z23" s="5">
        <v>-0.1740628532832279</v>
      </c>
      <c r="AA23" s="5">
        <v>-0.16494157484273339</v>
      </c>
      <c r="AB23" s="5">
        <v>9.1521715663441597E-2</v>
      </c>
      <c r="AC23" s="5">
        <v>2.64255029423873E-2</v>
      </c>
      <c r="AD23" s="5">
        <v>-0.3494393915370726</v>
      </c>
      <c r="AE23" s="5">
        <v>-0.1115556586423994</v>
      </c>
      <c r="AF23" s="5">
        <v>-0.22112907089084519</v>
      </c>
      <c r="AG23" s="5">
        <v>-0.31475484766614847</v>
      </c>
      <c r="AH23" s="5">
        <v>-0.20881549657333401</v>
      </c>
      <c r="AI23" s="5">
        <v>0.12351744271532381</v>
      </c>
      <c r="AJ23" s="5">
        <v>-0.1925077075500834</v>
      </c>
      <c r="AK23" s="5">
        <v>-0.17117126202253649</v>
      </c>
      <c r="AL23" s="5">
        <v>-0.1611471333180807</v>
      </c>
      <c r="AM23" s="5">
        <v>-0.15972101760390151</v>
      </c>
      <c r="AN23" s="5">
        <v>-6.9668072838023995E-2</v>
      </c>
      <c r="AO23" s="5">
        <v>-0.1379172747628776</v>
      </c>
      <c r="AP23" s="5">
        <v>2.8345380493699501E-2</v>
      </c>
      <c r="AQ23" s="5">
        <v>0.2454912246464257</v>
      </c>
      <c r="AR23" s="5">
        <v>-0.18013017733113121</v>
      </c>
      <c r="AS23" s="5">
        <v>-0.13221908558713311</v>
      </c>
      <c r="AT23" s="5">
        <v>-0.25407487045200949</v>
      </c>
      <c r="AU23" s="5">
        <v>8.8602851096076699E-2</v>
      </c>
      <c r="AV23" s="5">
        <v>-5.1141101052433998E-3</v>
      </c>
      <c r="AW23" s="5">
        <v>8.6792141123850405E-2</v>
      </c>
      <c r="AX23" s="5">
        <v>1.1682915534988399E-2</v>
      </c>
      <c r="AY23" s="5">
        <v>0.2296543789196627</v>
      </c>
      <c r="AZ23" s="5">
        <v>1.67557207879558E-2</v>
      </c>
      <c r="BA23" s="5">
        <v>3.4022926420959103E-2</v>
      </c>
      <c r="BB23" s="5">
        <v>-3.5465987210745203E-2</v>
      </c>
      <c r="BC23" s="5">
        <v>0.21092887859191359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0"/>
  <sheetViews>
    <sheetView topLeftCell="B10" workbookViewId="0">
      <selection activeCell="F22" sqref="F22"/>
    </sheetView>
  </sheetViews>
  <sheetFormatPr defaultRowHeight="14.5" x14ac:dyDescent="0.35"/>
  <cols>
    <col min="1" max="11" width="18.7265625" customWidth="1"/>
  </cols>
  <sheetData>
    <row r="2" spans="2:8" ht="18.5" x14ac:dyDescent="0.45">
      <c r="B2" s="6" t="s">
        <v>103</v>
      </c>
    </row>
    <row r="4" spans="2:8" x14ac:dyDescent="0.35">
      <c r="B4" t="s">
        <v>104</v>
      </c>
      <c r="D4" t="s">
        <v>105</v>
      </c>
      <c r="H4" t="s">
        <v>106</v>
      </c>
    </row>
    <row r="5" spans="2:8" x14ac:dyDescent="0.35">
      <c r="B5" t="s">
        <v>107</v>
      </c>
      <c r="D5" t="s">
        <v>108</v>
      </c>
      <c r="H5" t="s">
        <v>109</v>
      </c>
    </row>
    <row r="6" spans="2:8" x14ac:dyDescent="0.35">
      <c r="B6" t="s">
        <v>110</v>
      </c>
      <c r="D6" t="s">
        <v>111</v>
      </c>
      <c r="H6" t="s">
        <v>112</v>
      </c>
    </row>
    <row r="7" spans="2:8" x14ac:dyDescent="0.35">
      <c r="B7" t="s">
        <v>113</v>
      </c>
      <c r="D7" t="s">
        <v>114</v>
      </c>
      <c r="H7" t="s">
        <v>115</v>
      </c>
    </row>
    <row r="8" spans="2:8" x14ac:dyDescent="0.35">
      <c r="B8" t="s">
        <v>116</v>
      </c>
      <c r="D8" t="s">
        <v>117</v>
      </c>
      <c r="H8" t="s">
        <v>118</v>
      </c>
    </row>
    <row r="9" spans="2:8" x14ac:dyDescent="0.35">
      <c r="B9" t="s">
        <v>119</v>
      </c>
      <c r="D9" t="s">
        <v>120</v>
      </c>
      <c r="H9" t="s">
        <v>121</v>
      </c>
    </row>
    <row r="11" spans="2:8" x14ac:dyDescent="0.35">
      <c r="B11" t="s">
        <v>122</v>
      </c>
    </row>
    <row r="12" spans="2:8" x14ac:dyDescent="0.35">
      <c r="B12" t="s">
        <v>123</v>
      </c>
    </row>
    <row r="16" spans="2:8" x14ac:dyDescent="0.35">
      <c r="B16" t="s">
        <v>124</v>
      </c>
    </row>
    <row r="17" spans="2:2" x14ac:dyDescent="0.35">
      <c r="B17" t="s">
        <v>125</v>
      </c>
    </row>
    <row r="18" spans="2:2" x14ac:dyDescent="0.35">
      <c r="B18" s="13" t="s">
        <v>264</v>
      </c>
    </row>
    <row r="19" spans="2:2" x14ac:dyDescent="0.35">
      <c r="B19" t="s">
        <v>126</v>
      </c>
    </row>
    <row r="20" spans="2:2" x14ac:dyDescent="0.35">
      <c r="B20" t="s">
        <v>127</v>
      </c>
    </row>
    <row r="21" spans="2:2" x14ac:dyDescent="0.35">
      <c r="B21" t="s">
        <v>128</v>
      </c>
    </row>
    <row r="23" spans="2:2" x14ac:dyDescent="0.35">
      <c r="B23" t="s">
        <v>129</v>
      </c>
    </row>
    <row r="24" spans="2:2" x14ac:dyDescent="0.35">
      <c r="B24" t="s">
        <v>130</v>
      </c>
    </row>
    <row r="32" spans="2:2" x14ac:dyDescent="0.35">
      <c r="B32" t="s">
        <v>131</v>
      </c>
    </row>
    <row r="33" spans="2:7" x14ac:dyDescent="0.35">
      <c r="B33" t="s">
        <v>4</v>
      </c>
      <c r="D33" t="s">
        <v>132</v>
      </c>
      <c r="G33" t="s">
        <v>133</v>
      </c>
    </row>
    <row r="34" spans="2:7" x14ac:dyDescent="0.35">
      <c r="B34" t="s">
        <v>134</v>
      </c>
      <c r="D34" t="s">
        <v>135</v>
      </c>
      <c r="G34" t="s">
        <v>136</v>
      </c>
    </row>
    <row r="35" spans="2:7" x14ac:dyDescent="0.35">
      <c r="B35" t="s">
        <v>137</v>
      </c>
      <c r="D35" t="s">
        <v>138</v>
      </c>
      <c r="G35" t="s">
        <v>139</v>
      </c>
    </row>
    <row r="36" spans="2:7" x14ac:dyDescent="0.35">
      <c r="B36" t="s">
        <v>7</v>
      </c>
      <c r="D36" t="s">
        <v>140</v>
      </c>
      <c r="G36" t="s">
        <v>141</v>
      </c>
    </row>
    <row r="37" spans="2:7" x14ac:dyDescent="0.35">
      <c r="B37" t="s">
        <v>8</v>
      </c>
      <c r="D37" t="s">
        <v>142</v>
      </c>
      <c r="G37" t="s">
        <v>143</v>
      </c>
    </row>
    <row r="38" spans="2:7" x14ac:dyDescent="0.35">
      <c r="B38" t="s">
        <v>9</v>
      </c>
      <c r="D38" t="s">
        <v>144</v>
      </c>
      <c r="G38" t="s">
        <v>145</v>
      </c>
    </row>
    <row r="39" spans="2:7" x14ac:dyDescent="0.35">
      <c r="B39" t="s">
        <v>146</v>
      </c>
      <c r="D39" t="s">
        <v>147</v>
      </c>
      <c r="G39" t="s">
        <v>148</v>
      </c>
    </row>
    <row r="40" spans="2:7" x14ac:dyDescent="0.35">
      <c r="B40" t="s">
        <v>149</v>
      </c>
      <c r="D40" t="s">
        <v>150</v>
      </c>
      <c r="G40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11" sqref="C11"/>
    </sheetView>
  </sheetViews>
  <sheetFormatPr defaultRowHeight="14.5" x14ac:dyDescent="0.35"/>
  <cols>
    <col min="1" max="1" width="10.7265625" customWidth="1"/>
    <col min="2" max="2" width="8.7265625" customWidth="1"/>
    <col min="3" max="3" width="30.7265625" customWidth="1"/>
    <col min="4" max="19" width="14.7265625" customWidth="1"/>
  </cols>
  <sheetData>
    <row r="1" spans="1:19" ht="18.5" x14ac:dyDescent="0.45">
      <c r="A1" s="6" t="s">
        <v>152</v>
      </c>
    </row>
    <row r="2" spans="1:19" x14ac:dyDescent="0.35">
      <c r="A2" s="7" t="s">
        <v>153</v>
      </c>
    </row>
    <row r="3" spans="1:19" ht="29" x14ac:dyDescent="0.35">
      <c r="A3" s="2" t="s">
        <v>0</v>
      </c>
      <c r="B3" s="2" t="s">
        <v>1</v>
      </c>
      <c r="C3" s="2" t="s">
        <v>154</v>
      </c>
      <c r="D3" s="2" t="s">
        <v>155</v>
      </c>
      <c r="E3" s="2" t="s">
        <v>156</v>
      </c>
      <c r="F3" s="2" t="s">
        <v>157</v>
      </c>
      <c r="G3" s="2" t="s">
        <v>158</v>
      </c>
      <c r="H3" s="2" t="s">
        <v>159</v>
      </c>
      <c r="I3" s="2" t="s">
        <v>160</v>
      </c>
      <c r="J3" s="2" t="s">
        <v>161</v>
      </c>
      <c r="K3" s="2" t="s">
        <v>162</v>
      </c>
      <c r="L3" s="2" t="s">
        <v>163</v>
      </c>
      <c r="M3" s="2" t="s">
        <v>164</v>
      </c>
      <c r="N3" s="2" t="s">
        <v>165</v>
      </c>
      <c r="O3" s="2" t="s">
        <v>166</v>
      </c>
      <c r="P3" s="2" t="s">
        <v>167</v>
      </c>
      <c r="Q3" s="2" t="s">
        <v>168</v>
      </c>
      <c r="R3" s="2" t="s">
        <v>169</v>
      </c>
      <c r="S3" s="2" t="s">
        <v>170</v>
      </c>
    </row>
    <row r="4" spans="1:19" x14ac:dyDescent="0.35">
      <c r="A4" s="3" t="str">
        <f>'1_RAW_CORRELATIONS'!A4</f>
        <v>F01</v>
      </c>
      <c r="B4" s="3">
        <f>'1_RAW_CORRELATIONS'!B4</f>
        <v>1</v>
      </c>
      <c r="C4" s="3" t="str">
        <f>IF('2_FRAME_MARKUP'!E4=1,"HOOK ","" )&amp;IF('2_FRAME_MARKUP'!F4=1,"BRAND ","" )&amp;IF('2_FRAME_MARKUP'!G4=1,"PRODUCT ","" )&amp;IF('2_FRAME_MARKUP'!H4=1,"OFFER ","" )&amp;IF('2_FRAME_MARKUP'!I4=1,"CTA ","" )&amp;IF('2_FRAME_MARKUP'!J4=1,"LOGO ","" )</f>
        <v/>
      </c>
      <c r="D4" s="5">
        <f>AVERAGE('1_RAW_CORRELATIONS'!E4*1,'1_RAW_CORRELATIONS'!F4*1.2,'1_RAW_CORRELATIONS'!G4*1,'1_RAW_CORRELATIONS'!H4*1.1,'1_RAW_CORRELATIONS'!I4*1,'1_RAW_CORRELATIONS'!J4*1.2,'1_RAW_CORRELATIONS'!K4*0.7)-(MAX(0,'1_RAW_CORRELATIONS'!L4)*1)</f>
        <v>-7.9810984056423173E-3</v>
      </c>
      <c r="E4" s="5">
        <f>AVERAGE('1_RAW_CORRELATIONS'!M4*1.3,'1_RAW_CORRELATIONS'!N4*1,'1_RAW_CORRELATIONS'!O4*0.5,'1_RAW_CORRELATIONS'!P4*0.6,'1_RAW_CORRELATIONS'!Q4*0.6)-0</f>
        <v>-0.13132863615699614</v>
      </c>
      <c r="F4" s="5">
        <f>AVERAGE('1_RAW_CORRELATIONS'!R4*1)-(MAX(0,'1_RAW_CORRELATIONS'!S4)*1.2+MAX(0,'1_RAW_CORRELATIONS'!T4)*1.5+MAX(0,'1_RAW_CORRELATIONS'!U4)*0.6+MAX(0,'1_RAW_CORRELATIONS'!V4)*0.5)</f>
        <v>-0.20018706175599826</v>
      </c>
      <c r="G4" s="5">
        <f>AVERAGE('1_RAW_CORRELATIONS'!W4*1.5,'1_RAW_CORRELATIONS'!X4*1.3,'1_RAW_CORRELATIONS'!Y4*1,'1_RAW_CORRELATIONS'!Z4*1,'1_RAW_CORRELATIONS'!AA4*1.1,'1_RAW_CORRELATIONS'!AB4*1,'1_RAW_CORRELATIONS'!AC4*0.9)-0</f>
        <v>7.551880832398475E-5</v>
      </c>
      <c r="H4" s="5">
        <f>AVERAGE('1_RAW_CORRELATIONS'!AD4*1,'1_RAW_CORRELATIONS'!AE4*1.2,'1_RAW_CORRELATIONS'!AF4*1.1,'1_RAW_CORRELATIONS'!AG4*1.2,'1_RAW_CORRELATIONS'!AH4*1,'1_RAW_CORRELATIONS'!AI4*1,'1_RAW_CORRELATIONS'!AJ4*1.1,'1_RAW_CORRELATIONS'!AK4*1.1,'1_RAW_CORRELATIONS'!AL4*0.9)-0</f>
        <v>-1.965468716904327E-2</v>
      </c>
      <c r="I4" s="5">
        <f>AVERAGE('1_RAW_CORRELATIONS'!AM4*1,'1_RAW_CORRELATIONS'!AN4*1.2,'1_RAW_CORRELATIONS'!AO4*1,'1_RAW_CORRELATIONS'!AP4*1.3,'1_RAW_CORRELATIONS'!AQ4*1.2,'1_RAW_CORRELATIONS'!AR4*1.3,'1_RAW_CORRELATIONS'!AS4*1.1,'1_RAW_CORRELATIONS'!AT4*0.7)-0</f>
        <v>-0.19978999668888348</v>
      </c>
      <c r="J4" s="5">
        <f>AVERAGE('1_RAW_CORRELATIONS'!AU4*1.2,'1_RAW_CORRELATIONS'!AV4*1.2,'1_RAW_CORRELATIONS'!AW4*1.3,'1_RAW_CORRELATIONS'!AX4*1)-0</f>
        <v>-0.14344173795054979</v>
      </c>
      <c r="K4" s="5">
        <f>AVERAGE('1_RAW_CORRELATIONS'!AY4*1.3,'1_RAW_CORRELATIONS'!AZ4*1.1,'1_RAW_CORRELATIONS'!BA4*1,'1_RAW_CORRELATIONS'!BB4*0.9,'1_RAW_CORRELATIONS'!BC4*1.2)-0</f>
        <v>5.1037789338484463E-2</v>
      </c>
      <c r="L4" s="5">
        <f t="shared" ref="L4:L23" si="0">IFERROR((D4-AVERAGE(D$4:D$23))/STDEV(D$4:D$23),0)</f>
        <v>-2.1792430188602716</v>
      </c>
      <c r="M4" s="5">
        <f t="shared" ref="M4:M23" si="1">IFERROR((E4-AVERAGE(E$4:E$23))/STDEV(E$4:E$23),0)</f>
        <v>1.3347861061970849</v>
      </c>
      <c r="N4" s="5">
        <f t="shared" ref="N4:N23" si="2">IFERROR((F4-AVERAGE(F$4:F$23))/STDEV(F$4:F$23),0)</f>
        <v>-0.27119055389931018</v>
      </c>
      <c r="O4" s="5">
        <f t="shared" ref="O4:O23" si="3">IFERROR((G4-AVERAGE(G$4:G$23))/STDEV(G$4:G$23),0)</f>
        <v>-0.32933614730109823</v>
      </c>
      <c r="P4" s="5">
        <f t="shared" ref="P4:P23" si="4">IFERROR((H4-AVERAGE(H$4:H$23))/STDEV(H$4:H$23),0)</f>
        <v>2.090134466758975</v>
      </c>
      <c r="Q4" s="5">
        <f t="shared" ref="Q4:Q23" si="5">IFERROR((I4-AVERAGE(I$4:I$23))/STDEV(I$4:I$23),0)</f>
        <v>-1.9525014569327555</v>
      </c>
      <c r="R4" s="5">
        <f t="shared" ref="R4:R23" si="6">IFERROR((J4-AVERAGE(J$4:J$23))/STDEV(J$4:J$23),0)</f>
        <v>-2.0244532460775493</v>
      </c>
      <c r="S4" s="5">
        <f t="shared" ref="S4:S23" si="7">IFERROR((K4-AVERAGE(K$4:K$23))/STDEV(K$4:K$23),0)</f>
        <v>1.1455824225246016</v>
      </c>
    </row>
    <row r="5" spans="1:19" x14ac:dyDescent="0.35">
      <c r="A5" s="3" t="str">
        <f>'1_RAW_CORRELATIONS'!A5</f>
        <v>F02</v>
      </c>
      <c r="B5" s="3">
        <f>'1_RAW_CORRELATIONS'!B5</f>
        <v>2</v>
      </c>
      <c r="C5" s="3" t="str">
        <f>IF('2_FRAME_MARKUP'!E5=1,"HOOK ","" )&amp;IF('2_FRAME_MARKUP'!F5=1,"BRAND ","" )&amp;IF('2_FRAME_MARKUP'!G5=1,"PRODUCT ","" )&amp;IF('2_FRAME_MARKUP'!H5=1,"OFFER ","" )&amp;IF('2_FRAME_MARKUP'!I5=1,"CTA ","" )&amp;IF('2_FRAME_MARKUP'!J5=1,"LOGO ","" )</f>
        <v/>
      </c>
      <c r="D5" s="5">
        <f>AVERAGE('1_RAW_CORRELATIONS'!E5*1,'1_RAW_CORRELATIONS'!F5*1.2,'1_RAW_CORRELATIONS'!G5*1,'1_RAW_CORRELATIONS'!H5*1.1,'1_RAW_CORRELATIONS'!I5*1,'1_RAW_CORRELATIONS'!J5*1.2,'1_RAW_CORRELATIONS'!K5*0.7)-(MAX(0,'1_RAW_CORRELATIONS'!L5)*1)</f>
        <v>-4.0932038402148596E-3</v>
      </c>
      <c r="E5" s="5">
        <f>AVERAGE('1_RAW_CORRELATIONS'!M5*1.3,'1_RAW_CORRELATIONS'!N5*1,'1_RAW_CORRELATIONS'!O5*0.5,'1_RAW_CORRELATIONS'!P5*0.6,'1_RAW_CORRELATIONS'!Q5*0.6)-0</f>
        <v>-0.14039301966166329</v>
      </c>
      <c r="F5" s="5">
        <f>AVERAGE('1_RAW_CORRELATIONS'!R5*1)-(MAX(0,'1_RAW_CORRELATIONS'!S5)*1.2+MAX(0,'1_RAW_CORRELATIONS'!T5)*1.5+MAX(0,'1_RAW_CORRELATIONS'!U5)*0.6+MAX(0,'1_RAW_CORRELATIONS'!V5)*0.5)</f>
        <v>-0.20128511253954129</v>
      </c>
      <c r="G5" s="5">
        <f>AVERAGE('1_RAW_CORRELATIONS'!W5*1.5,'1_RAW_CORRELATIONS'!X5*1.3,'1_RAW_CORRELATIONS'!Y5*1,'1_RAW_CORRELATIONS'!Z5*1,'1_RAW_CORRELATIONS'!AA5*1.1,'1_RAW_CORRELATIONS'!AB5*1,'1_RAW_CORRELATIONS'!AC5*0.9)-0</f>
        <v>-8.7740330003696299E-2</v>
      </c>
      <c r="H5" s="5">
        <f>AVERAGE('1_RAW_CORRELATIONS'!AD5*1,'1_RAW_CORRELATIONS'!AE5*1.2,'1_RAW_CORRELATIONS'!AF5*1.1,'1_RAW_CORRELATIONS'!AG5*1.2,'1_RAW_CORRELATIONS'!AH5*1,'1_RAW_CORRELATIONS'!AI5*1,'1_RAW_CORRELATIONS'!AJ5*1.1,'1_RAW_CORRELATIONS'!AK5*1.1,'1_RAW_CORRELATIONS'!AL5*0.9)-0</f>
        <v>-4.8584060860028991E-2</v>
      </c>
      <c r="I5" s="5">
        <f>AVERAGE('1_RAW_CORRELATIONS'!AM5*1,'1_RAW_CORRELATIONS'!AN5*1.2,'1_RAW_CORRELATIONS'!AO5*1,'1_RAW_CORRELATIONS'!AP5*1.3,'1_RAW_CORRELATIONS'!AQ5*1.2,'1_RAW_CORRELATIONS'!AR5*1.3,'1_RAW_CORRELATIONS'!AS5*1.1,'1_RAW_CORRELATIONS'!AT5*0.7)-0</f>
        <v>-0.22209653740004165</v>
      </c>
      <c r="J5" s="5">
        <f>AVERAGE('1_RAW_CORRELATIONS'!AU5*1.2,'1_RAW_CORRELATIONS'!AV5*1.2,'1_RAW_CORRELATIONS'!AW5*1.3,'1_RAW_CORRELATIONS'!AX5*1)-0</f>
        <v>-6.4045963591851413E-2</v>
      </c>
      <c r="K5" s="5">
        <f>AVERAGE('1_RAW_CORRELATIONS'!AY5*1.3,'1_RAW_CORRELATIONS'!AZ5*1.1,'1_RAW_CORRELATIONS'!BA5*1,'1_RAW_CORRELATIONS'!BB5*0.9,'1_RAW_CORRELATIONS'!BC5*1.2)-0</f>
        <v>5.837757136951386E-2</v>
      </c>
      <c r="L5" s="5">
        <f t="shared" si="0"/>
        <v>-1.8958293400989974</v>
      </c>
      <c r="M5" s="5">
        <f t="shared" si="1"/>
        <v>0.92199797556282481</v>
      </c>
      <c r="N5" s="5">
        <f t="shared" si="2"/>
        <v>-0.30454104131510185</v>
      </c>
      <c r="O5" s="5">
        <f t="shared" si="3"/>
        <v>-3.0859538099546167</v>
      </c>
      <c r="P5" s="5">
        <f t="shared" si="4"/>
        <v>1.4031180594317871</v>
      </c>
      <c r="Q5" s="5">
        <f t="shared" si="5"/>
        <v>-2.2861084343417626</v>
      </c>
      <c r="R5" s="5">
        <f t="shared" si="6"/>
        <v>-0.96857995525716734</v>
      </c>
      <c r="S5" s="5">
        <f t="shared" si="7"/>
        <v>1.3127293615981352</v>
      </c>
    </row>
    <row r="6" spans="1:19" x14ac:dyDescent="0.35">
      <c r="A6" s="3" t="str">
        <f>'1_RAW_CORRELATIONS'!A6</f>
        <v>F03</v>
      </c>
      <c r="B6" s="3">
        <f>'1_RAW_CORRELATIONS'!B6</f>
        <v>3</v>
      </c>
      <c r="C6" s="11" t="str">
        <f>IF('2_FRAME_MARKUP'!E6=1,"HOOK ","" )&amp;IF('2_FRAME_MARKUP'!F6=1,"BRAND ","" )&amp;IF('2_FRAME_MARKUP'!G6=1,"PRODUCT ","" )&amp;IF('2_FRAME_MARKUP'!H6=1,"OFFER ","" )&amp;IF('2_FRAME_MARKUP'!I6=1,"CTA ","" )&amp;IF('2_FRAME_MARKUP'!J6=1,"LOGO ","" )</f>
        <v xml:space="preserve">LOGO </v>
      </c>
      <c r="D6" s="5">
        <f>AVERAGE('1_RAW_CORRELATIONS'!E6*1,'1_RAW_CORRELATIONS'!F6*1.2,'1_RAW_CORRELATIONS'!G6*1,'1_RAW_CORRELATIONS'!H6*1.1,'1_RAW_CORRELATIONS'!I6*1,'1_RAW_CORRELATIONS'!J6*1.2,'1_RAW_CORRELATIONS'!K6*0.7)-(MAX(0,'1_RAW_CORRELATIONS'!L6)*1)</f>
        <v>-2.6638589042352057E-4</v>
      </c>
      <c r="E6" s="5">
        <f>AVERAGE('1_RAW_CORRELATIONS'!M6*1.3,'1_RAW_CORRELATIONS'!N6*1,'1_RAW_CORRELATIONS'!O6*0.5,'1_RAW_CORRELATIONS'!P6*0.6,'1_RAW_CORRELATIONS'!Q6*0.6)-0</f>
        <v>-0.13738997805421238</v>
      </c>
      <c r="F6" s="5">
        <f>AVERAGE('1_RAW_CORRELATIONS'!R6*1)-(MAX(0,'1_RAW_CORRELATIONS'!S6)*1.2+MAX(0,'1_RAW_CORRELATIONS'!T6)*1.5+MAX(0,'1_RAW_CORRELATIONS'!U6)*0.6+MAX(0,'1_RAW_CORRELATIONS'!V6)*0.5)</f>
        <v>-0.17291533963233352</v>
      </c>
      <c r="G6" s="5">
        <f>AVERAGE('1_RAW_CORRELATIONS'!W6*1.5,'1_RAW_CORRELATIONS'!X6*1.3,'1_RAW_CORRELATIONS'!Y6*1,'1_RAW_CORRELATIONS'!Z6*1,'1_RAW_CORRELATIONS'!AA6*1.1,'1_RAW_CORRELATIONS'!AB6*1,'1_RAW_CORRELATIONS'!AC6*0.9)-0</f>
        <v>2.1256054668780104E-2</v>
      </c>
      <c r="H6" s="5">
        <f>AVERAGE('1_RAW_CORRELATIONS'!AD6*1,'1_RAW_CORRELATIONS'!AE6*1.2,'1_RAW_CORRELATIONS'!AF6*1.1,'1_RAW_CORRELATIONS'!AG6*1.2,'1_RAW_CORRELATIONS'!AH6*1,'1_RAW_CORRELATIONS'!AI6*1,'1_RAW_CORRELATIONS'!AJ6*1.1,'1_RAW_CORRELATIONS'!AK6*1.1,'1_RAW_CORRELATIONS'!AL6*0.9)-0</f>
        <v>-4.5347071796083382E-2</v>
      </c>
      <c r="I6" s="5">
        <f>AVERAGE('1_RAW_CORRELATIONS'!AM6*1,'1_RAW_CORRELATIONS'!AN6*1.2,'1_RAW_CORRELATIONS'!AO6*1,'1_RAW_CORRELATIONS'!AP6*1.3,'1_RAW_CORRELATIONS'!AQ6*1.2,'1_RAW_CORRELATIONS'!AR6*1.3,'1_RAW_CORRELATIONS'!AS6*1.1,'1_RAW_CORRELATIONS'!AT6*0.7)-0</f>
        <v>-0.14964641214787494</v>
      </c>
      <c r="J6" s="5">
        <f>AVERAGE('1_RAW_CORRELATIONS'!AU6*1.2,'1_RAW_CORRELATIONS'!AV6*1.2,'1_RAW_CORRELATIONS'!AW6*1.3,'1_RAW_CORRELATIONS'!AX6*1)-0</f>
        <v>-5.6550935842309968E-2</v>
      </c>
      <c r="K6" s="5">
        <f>AVERAGE('1_RAW_CORRELATIONS'!AY6*1.3,'1_RAW_CORRELATIONS'!AZ6*1.1,'1_RAW_CORRELATIONS'!BA6*1,'1_RAW_CORRELATIONS'!BB6*0.9,'1_RAW_CORRELATIONS'!BC6*1.2)-0</f>
        <v>1.5666440247554599E-2</v>
      </c>
      <c r="L6" s="5">
        <f t="shared" si="0"/>
        <v>-1.6168679292766861</v>
      </c>
      <c r="M6" s="5">
        <f t="shared" si="1"/>
        <v>1.0587552002233103</v>
      </c>
      <c r="N6" s="5">
        <f t="shared" si="2"/>
        <v>0.55711833592956261</v>
      </c>
      <c r="O6" s="5">
        <f t="shared" si="3"/>
        <v>0.33553972701155294</v>
      </c>
      <c r="P6" s="5">
        <f t="shared" si="4"/>
        <v>1.4799902593288161</v>
      </c>
      <c r="Q6" s="5">
        <f t="shared" si="5"/>
        <v>-1.202575688890601</v>
      </c>
      <c r="R6" s="5">
        <f t="shared" si="6"/>
        <v>-0.86890463023363373</v>
      </c>
      <c r="S6" s="5">
        <f t="shared" si="7"/>
        <v>0.34007992851918156</v>
      </c>
    </row>
    <row r="7" spans="1:19" x14ac:dyDescent="0.35">
      <c r="A7" s="3" t="str">
        <f>'1_RAW_CORRELATIONS'!A7</f>
        <v>F04</v>
      </c>
      <c r="B7" s="3">
        <f>'1_RAW_CORRELATIONS'!B7</f>
        <v>4</v>
      </c>
      <c r="C7" s="3" t="str">
        <f>IF('2_FRAME_MARKUP'!E7=1,"HOOK ","" )&amp;IF('2_FRAME_MARKUP'!F7=1,"BRAND ","" )&amp;IF('2_FRAME_MARKUP'!G7=1,"PRODUCT ","" )&amp;IF('2_FRAME_MARKUP'!H7=1,"OFFER ","" )&amp;IF('2_FRAME_MARKUP'!I7=1,"CTA ","" )&amp;IF('2_FRAME_MARKUP'!J7=1,"LOGO ","" )</f>
        <v xml:space="preserve">LOGO </v>
      </c>
      <c r="D7" s="5">
        <f>AVERAGE('1_RAW_CORRELATIONS'!E7*1,'1_RAW_CORRELATIONS'!F7*1.2,'1_RAW_CORRELATIONS'!G7*1,'1_RAW_CORRELATIONS'!H7*1.1,'1_RAW_CORRELATIONS'!I7*1,'1_RAW_CORRELATIONS'!J7*1.2,'1_RAW_CORRELATIONS'!K7*0.7)-(MAX(0,'1_RAW_CORRELATIONS'!L7)*1)</f>
        <v>1.1867815970647705E-2</v>
      </c>
      <c r="E7" s="5">
        <f>AVERAGE('1_RAW_CORRELATIONS'!M7*1.3,'1_RAW_CORRELATIONS'!N7*1,'1_RAW_CORRELATIONS'!O7*0.5,'1_RAW_CORRELATIONS'!P7*0.6,'1_RAW_CORRELATIONS'!Q7*0.6)-0</f>
        <v>-0.14073995769065978</v>
      </c>
      <c r="F7" s="5">
        <f>AVERAGE('1_RAW_CORRELATIONS'!R7*1)-(MAX(0,'1_RAW_CORRELATIONS'!S7)*1.2+MAX(0,'1_RAW_CORRELATIONS'!T7)*1.5+MAX(0,'1_RAW_CORRELATIONS'!U7)*0.6+MAX(0,'1_RAW_CORRELATIONS'!V7)*0.5)</f>
        <v>-0.17218273805612147</v>
      </c>
      <c r="G7" s="5">
        <f>AVERAGE('1_RAW_CORRELATIONS'!W7*1.5,'1_RAW_CORRELATIONS'!X7*1.3,'1_RAW_CORRELATIONS'!Y7*1,'1_RAW_CORRELATIONS'!Z7*1,'1_RAW_CORRELATIONS'!AA7*1.1,'1_RAW_CORRELATIONS'!AB7*1,'1_RAW_CORRELATIONS'!AC7*0.9)-0</f>
        <v>1.8876743366488539E-2</v>
      </c>
      <c r="H7" s="5">
        <f>AVERAGE('1_RAW_CORRELATIONS'!AD7*1,'1_RAW_CORRELATIONS'!AE7*1.2,'1_RAW_CORRELATIONS'!AF7*1.1,'1_RAW_CORRELATIONS'!AG7*1.2,'1_RAW_CORRELATIONS'!AH7*1,'1_RAW_CORRELATIONS'!AI7*1,'1_RAW_CORRELATIONS'!AJ7*1.1,'1_RAW_CORRELATIONS'!AK7*1.1,'1_RAW_CORRELATIONS'!AL7*0.9)-0</f>
        <v>-6.4535487718293094E-2</v>
      </c>
      <c r="I7" s="5">
        <f>AVERAGE('1_RAW_CORRELATIONS'!AM7*1,'1_RAW_CORRELATIONS'!AN7*1.2,'1_RAW_CORRELATIONS'!AO7*1,'1_RAW_CORRELATIONS'!AP7*1.3,'1_RAW_CORRELATIONS'!AQ7*1.2,'1_RAW_CORRELATIONS'!AR7*1.3,'1_RAW_CORRELATIONS'!AS7*1.1,'1_RAW_CORRELATIONS'!AT7*0.7)-0</f>
        <v>-0.11932253173077766</v>
      </c>
      <c r="J7" s="5">
        <f>AVERAGE('1_RAW_CORRELATIONS'!AU7*1.2,'1_RAW_CORRELATIONS'!AV7*1.2,'1_RAW_CORRELATIONS'!AW7*1.3,'1_RAW_CORRELATIONS'!AX7*1)-0</f>
        <v>-3.0187159175064406E-2</v>
      </c>
      <c r="K7" s="5">
        <f>AVERAGE('1_RAW_CORRELATIONS'!AY7*1.3,'1_RAW_CORRELATIONS'!AZ7*1.1,'1_RAW_CORRELATIONS'!BA7*1,'1_RAW_CORRELATIONS'!BB7*0.9,'1_RAW_CORRELATIONS'!BC7*1.2)-0</f>
        <v>-5.7778482682224351E-3</v>
      </c>
      <c r="L7" s="5">
        <f t="shared" si="0"/>
        <v>-0.73232779311690011</v>
      </c>
      <c r="M7" s="5">
        <f t="shared" si="1"/>
        <v>0.90619856677107868</v>
      </c>
      <c r="N7" s="5">
        <f t="shared" si="2"/>
        <v>0.57936923726712519</v>
      </c>
      <c r="O7" s="5">
        <f t="shared" si="3"/>
        <v>0.26085102731125126</v>
      </c>
      <c r="P7" s="5">
        <f t="shared" si="4"/>
        <v>1.024302669614974</v>
      </c>
      <c r="Q7" s="5">
        <f t="shared" si="5"/>
        <v>-0.74906484557998154</v>
      </c>
      <c r="R7" s="5">
        <f t="shared" si="6"/>
        <v>-0.51829645425772375</v>
      </c>
      <c r="S7" s="5">
        <f t="shared" si="7"/>
        <v>-0.1482652526958472</v>
      </c>
    </row>
    <row r="8" spans="1:19" x14ac:dyDescent="0.35">
      <c r="A8" s="3" t="str">
        <f>'1_RAW_CORRELATIONS'!A8</f>
        <v>F05</v>
      </c>
      <c r="B8" s="3">
        <f>'1_RAW_CORRELATIONS'!B8</f>
        <v>5</v>
      </c>
      <c r="C8" s="3" t="str">
        <f>IF('2_FRAME_MARKUP'!E8=1,"HOOK ","" )&amp;IF('2_FRAME_MARKUP'!F8=1,"BRAND ","" )&amp;IF('2_FRAME_MARKUP'!G8=1,"PRODUCT ","" )&amp;IF('2_FRAME_MARKUP'!H8=1,"OFFER ","" )&amp;IF('2_FRAME_MARKUP'!I8=1,"CTA ","" )&amp;IF('2_FRAME_MARKUP'!J8=1,"LOGO ","" )</f>
        <v/>
      </c>
      <c r="D8" s="5">
        <f>AVERAGE('1_RAW_CORRELATIONS'!E8*1,'1_RAW_CORRELATIONS'!F8*1.2,'1_RAW_CORRELATIONS'!G8*1,'1_RAW_CORRELATIONS'!H8*1.1,'1_RAW_CORRELATIONS'!I8*1,'1_RAW_CORRELATIONS'!J8*1.2,'1_RAW_CORRELATIONS'!K8*0.7)-(MAX(0,'1_RAW_CORRELATIONS'!L8)*1)</f>
        <v>2.3606918792941245E-2</v>
      </c>
      <c r="E8" s="5">
        <f>AVERAGE('1_RAW_CORRELATIONS'!M8*1.3,'1_RAW_CORRELATIONS'!N8*1,'1_RAW_CORRELATIONS'!O8*0.5,'1_RAW_CORRELATIONS'!P8*0.6,'1_RAW_CORRELATIONS'!Q8*0.6)-0</f>
        <v>-0.14040852951502836</v>
      </c>
      <c r="F8" s="5">
        <f>AVERAGE('1_RAW_CORRELATIONS'!R8*1)-(MAX(0,'1_RAW_CORRELATIONS'!S8)*1.2+MAX(0,'1_RAW_CORRELATIONS'!T8)*1.5+MAX(0,'1_RAW_CORRELATIONS'!U8)*0.6+MAX(0,'1_RAW_CORRELATIONS'!V8)*0.5)</f>
        <v>-0.18675591626684285</v>
      </c>
      <c r="G8" s="5">
        <f>AVERAGE('1_RAW_CORRELATIONS'!W8*1.5,'1_RAW_CORRELATIONS'!X8*1.3,'1_RAW_CORRELATIONS'!Y8*1,'1_RAW_CORRELATIONS'!Z8*1,'1_RAW_CORRELATIONS'!AA8*1.1,'1_RAW_CORRELATIONS'!AB8*1,'1_RAW_CORRELATIONS'!AC8*0.9)-0</f>
        <v>2.0209709148544586E-2</v>
      </c>
      <c r="H8" s="5">
        <f>AVERAGE('1_RAW_CORRELATIONS'!AD8*1,'1_RAW_CORRELATIONS'!AE8*1.2,'1_RAW_CORRELATIONS'!AF8*1.1,'1_RAW_CORRELATIONS'!AG8*1.2,'1_RAW_CORRELATIONS'!AH8*1,'1_RAW_CORRELATIONS'!AI8*1,'1_RAW_CORRELATIONS'!AJ8*1.1,'1_RAW_CORRELATIONS'!AK8*1.1,'1_RAW_CORRELATIONS'!AL8*0.9)-0</f>
        <v>-5.9976399825931538E-2</v>
      </c>
      <c r="I8" s="5">
        <f>AVERAGE('1_RAW_CORRELATIONS'!AM8*1,'1_RAW_CORRELATIONS'!AN8*1.2,'1_RAW_CORRELATIONS'!AO8*1,'1_RAW_CORRELATIONS'!AP8*1.3,'1_RAW_CORRELATIONS'!AQ8*1.2,'1_RAW_CORRELATIONS'!AR8*1.3,'1_RAW_CORRELATIONS'!AS8*1.1,'1_RAW_CORRELATIONS'!AT8*0.7)-0</f>
        <v>-0.10953292272947623</v>
      </c>
      <c r="J8" s="5">
        <f>AVERAGE('1_RAW_CORRELATIONS'!AU8*1.2,'1_RAW_CORRELATIONS'!AV8*1.2,'1_RAW_CORRELATIONS'!AW8*1.3,'1_RAW_CORRELATIONS'!AX8*1)-0</f>
        <v>-5.5741391965218517E-2</v>
      </c>
      <c r="K8" s="5">
        <f>AVERAGE('1_RAW_CORRELATIONS'!AY8*1.3,'1_RAW_CORRELATIONS'!AZ8*1.1,'1_RAW_CORRELATIONS'!BA8*1,'1_RAW_CORRELATIONS'!BB8*0.9,'1_RAW_CORRELATIONS'!BC8*1.2)-0</f>
        <v>-1.0869837746328641E-2</v>
      </c>
      <c r="L8" s="5">
        <f t="shared" si="0"/>
        <v>0.12341102907445649</v>
      </c>
      <c r="M8" s="5">
        <f t="shared" si="1"/>
        <v>0.92129166350379921</v>
      </c>
      <c r="N8" s="5">
        <f t="shared" si="2"/>
        <v>0.13674617847149514</v>
      </c>
      <c r="O8" s="5">
        <f t="shared" si="3"/>
        <v>0.30269400973682792</v>
      </c>
      <c r="P8" s="5">
        <f t="shared" si="4"/>
        <v>1.1325721474804795</v>
      </c>
      <c r="Q8" s="5">
        <f t="shared" si="5"/>
        <v>-0.60265568643561818</v>
      </c>
      <c r="R8" s="5">
        <f t="shared" si="6"/>
        <v>-0.85813861951741732</v>
      </c>
      <c r="S8" s="5">
        <f t="shared" si="7"/>
        <v>-0.26422379907528587</v>
      </c>
    </row>
    <row r="9" spans="1:19" x14ac:dyDescent="0.35">
      <c r="A9" s="3" t="str">
        <f>'1_RAW_CORRELATIONS'!A9</f>
        <v>F06</v>
      </c>
      <c r="B9" s="3">
        <f>'1_RAW_CORRELATIONS'!B9</f>
        <v>6</v>
      </c>
      <c r="C9" s="3" t="str">
        <f>IF('2_FRAME_MARKUP'!E9=1,"HOOK ","" )&amp;IF('2_FRAME_MARKUP'!F9=1,"BRAND ","" )&amp;IF('2_FRAME_MARKUP'!G9=1,"PRODUCT ","" )&amp;IF('2_FRAME_MARKUP'!H9=1,"OFFER ","" )&amp;IF('2_FRAME_MARKUP'!I9=1,"CTA ","" )&amp;IF('2_FRAME_MARKUP'!J9=1,"LOGO ","" )</f>
        <v/>
      </c>
      <c r="D9" s="5">
        <f>AVERAGE('1_RAW_CORRELATIONS'!E9*1,'1_RAW_CORRELATIONS'!F9*1.2,'1_RAW_CORRELATIONS'!G9*1,'1_RAW_CORRELATIONS'!H9*1.1,'1_RAW_CORRELATIONS'!I9*1,'1_RAW_CORRELATIONS'!J9*1.2,'1_RAW_CORRELATIONS'!K9*0.7)-(MAX(0,'1_RAW_CORRELATIONS'!L9)*1)</f>
        <v>2.6177481973209071E-2</v>
      </c>
      <c r="E9" s="5">
        <f>AVERAGE('1_RAW_CORRELATIONS'!M9*1.3,'1_RAW_CORRELATIONS'!N9*1,'1_RAW_CORRELATIONS'!O9*0.5,'1_RAW_CORRELATIONS'!P9*0.6,'1_RAW_CORRELATIONS'!Q9*0.6)-0</f>
        <v>-0.15507292505212239</v>
      </c>
      <c r="F9" s="5">
        <f>AVERAGE('1_RAW_CORRELATIONS'!R9*1)-(MAX(0,'1_RAW_CORRELATIONS'!S9)*1.2+MAX(0,'1_RAW_CORRELATIONS'!T9)*1.5+MAX(0,'1_RAW_CORRELATIONS'!U9)*0.6+MAX(0,'1_RAW_CORRELATIONS'!V9)*0.5)</f>
        <v>-0.19600895891439885</v>
      </c>
      <c r="G9" s="5">
        <f>AVERAGE('1_RAW_CORRELATIONS'!W9*1.5,'1_RAW_CORRELATIONS'!X9*1.3,'1_RAW_CORRELATIONS'!Y9*1,'1_RAW_CORRELATIONS'!Z9*1,'1_RAW_CORRELATIONS'!AA9*1.1,'1_RAW_CORRELATIONS'!AB9*1,'1_RAW_CORRELATIONS'!AC9*0.9)-0</f>
        <v>5.4538035440107385E-3</v>
      </c>
      <c r="H9" s="5">
        <f>AVERAGE('1_RAW_CORRELATIONS'!AD9*1,'1_RAW_CORRELATIONS'!AE9*1.2,'1_RAW_CORRELATIONS'!AF9*1.1,'1_RAW_CORRELATIONS'!AG9*1.2,'1_RAW_CORRELATIONS'!AH9*1,'1_RAW_CORRELATIONS'!AI9*1,'1_RAW_CORRELATIONS'!AJ9*1.1,'1_RAW_CORRELATIONS'!AK9*1.1,'1_RAW_CORRELATIONS'!AL9*0.9)-0</f>
        <v>-8.3133238340867527E-2</v>
      </c>
      <c r="I9" s="5">
        <f>AVERAGE('1_RAW_CORRELATIONS'!AM9*1,'1_RAW_CORRELATIONS'!AN9*1.2,'1_RAW_CORRELATIONS'!AO9*1,'1_RAW_CORRELATIONS'!AP9*1.3,'1_RAW_CORRELATIONS'!AQ9*1.2,'1_RAW_CORRELATIONS'!AR9*1.3,'1_RAW_CORRELATIONS'!AS9*1.1,'1_RAW_CORRELATIONS'!AT9*0.7)-0</f>
        <v>-0.1052574423855859</v>
      </c>
      <c r="J9" s="5">
        <f>AVERAGE('1_RAW_CORRELATIONS'!AU9*1.2,'1_RAW_CORRELATIONS'!AV9*1.2,'1_RAW_CORRELATIONS'!AW9*1.3,'1_RAW_CORRELATIONS'!AX9*1)-0</f>
        <v>-3.908768152505715E-2</v>
      </c>
      <c r="K9" s="5">
        <f>AVERAGE('1_RAW_CORRELATIONS'!AY9*1.3,'1_RAW_CORRELATIONS'!AZ9*1.1,'1_RAW_CORRELATIONS'!BA9*1,'1_RAW_CORRELATIONS'!BB9*0.9,'1_RAW_CORRELATIONS'!BC9*1.2)-0</f>
        <v>-1.1554934975610836E-2</v>
      </c>
      <c r="L9" s="5">
        <f t="shared" si="0"/>
        <v>0.31079593757644053</v>
      </c>
      <c r="M9" s="5">
        <f t="shared" si="1"/>
        <v>0.25348139074540782</v>
      </c>
      <c r="N9" s="5">
        <f t="shared" si="2"/>
        <v>-0.14429135367194224</v>
      </c>
      <c r="O9" s="5">
        <f t="shared" si="3"/>
        <v>-0.16050700201878854</v>
      </c>
      <c r="P9" s="5">
        <f t="shared" si="4"/>
        <v>0.58264223294021433</v>
      </c>
      <c r="Q9" s="5">
        <f t="shared" si="5"/>
        <v>-0.53871345115287905</v>
      </c>
      <c r="R9" s="5">
        <f t="shared" si="6"/>
        <v>-0.63666325525709699</v>
      </c>
      <c r="S9" s="5">
        <f t="shared" si="7"/>
        <v>-0.27982533933331688</v>
      </c>
    </row>
    <row r="10" spans="1:19" x14ac:dyDescent="0.35">
      <c r="A10" s="3" t="str">
        <f>'1_RAW_CORRELATIONS'!A10</f>
        <v>F07</v>
      </c>
      <c r="B10" s="3">
        <f>'1_RAW_CORRELATIONS'!B10</f>
        <v>7</v>
      </c>
      <c r="C10" s="3" t="str">
        <f>IF('2_FRAME_MARKUP'!E10=1,"HOOK ","" )&amp;IF('2_FRAME_MARKUP'!F10=1,"BRAND ","" )&amp;IF('2_FRAME_MARKUP'!G10=1,"PRODUCT ","" )&amp;IF('2_FRAME_MARKUP'!H10=1,"OFFER ","" )&amp;IF('2_FRAME_MARKUP'!I10=1,"CTA ","" )&amp;IF('2_FRAME_MARKUP'!J10=1,"LOGO ","" )</f>
        <v/>
      </c>
      <c r="D10" s="5">
        <f>AVERAGE('1_RAW_CORRELATIONS'!E10*1,'1_RAW_CORRELATIONS'!F10*1.2,'1_RAW_CORRELATIONS'!G10*1,'1_RAW_CORRELATIONS'!H10*1.1,'1_RAW_CORRELATIONS'!I10*1,'1_RAW_CORRELATIONS'!J10*1.2,'1_RAW_CORRELATIONS'!K10*0.7)-(MAX(0,'1_RAW_CORRELATIONS'!L10)*1)</f>
        <v>2.7360770991902761E-2</v>
      </c>
      <c r="E10" s="5">
        <f>AVERAGE('1_RAW_CORRELATIONS'!M10*1.3,'1_RAW_CORRELATIONS'!N10*1,'1_RAW_CORRELATIONS'!O10*0.5,'1_RAW_CORRELATIONS'!P10*0.6,'1_RAW_CORRELATIONS'!Q10*0.6)-0</f>
        <v>-0.16246202867101084</v>
      </c>
      <c r="F10" s="5">
        <f>AVERAGE('1_RAW_CORRELATIONS'!R10*1)-(MAX(0,'1_RAW_CORRELATIONS'!S10)*1.2+MAX(0,'1_RAW_CORRELATIONS'!T10)*1.5+MAX(0,'1_RAW_CORRELATIONS'!U10)*0.6+MAX(0,'1_RAW_CORRELATIONS'!V10)*0.5)</f>
        <v>-0.1936625930724086</v>
      </c>
      <c r="G10" s="5">
        <f>AVERAGE('1_RAW_CORRELATIONS'!W10*1.5,'1_RAW_CORRELATIONS'!X10*1.3,'1_RAW_CORRELATIONS'!Y10*1,'1_RAW_CORRELATIONS'!Z10*1,'1_RAW_CORRELATIONS'!AA10*1.1,'1_RAW_CORRELATIONS'!AB10*1,'1_RAW_CORRELATIONS'!AC10*0.9)-0</f>
        <v>1.7717976096980515E-3</v>
      </c>
      <c r="H10" s="5">
        <f>AVERAGE('1_RAW_CORRELATIONS'!AD10*1,'1_RAW_CORRELATIONS'!AE10*1.2,'1_RAW_CORRELATIONS'!AF10*1.1,'1_RAW_CORRELATIONS'!AG10*1.2,'1_RAW_CORRELATIONS'!AH10*1,'1_RAW_CORRELATIONS'!AI10*1,'1_RAW_CORRELATIONS'!AJ10*1.1,'1_RAW_CORRELATIONS'!AK10*1.1,'1_RAW_CORRELATIONS'!AL10*0.9)-0</f>
        <v>-9.818601330100736E-2</v>
      </c>
      <c r="I10" s="5">
        <f>AVERAGE('1_RAW_CORRELATIONS'!AM10*1,'1_RAW_CORRELATIONS'!AN10*1.2,'1_RAW_CORRELATIONS'!AO10*1,'1_RAW_CORRELATIONS'!AP10*1.3,'1_RAW_CORRELATIONS'!AQ10*1.2,'1_RAW_CORRELATIONS'!AR10*1.3,'1_RAW_CORRELATIONS'!AS10*1.1,'1_RAW_CORRELATIONS'!AT10*0.7)-0</f>
        <v>-9.9784824082895796E-2</v>
      </c>
      <c r="J10" s="5">
        <f>AVERAGE('1_RAW_CORRELATIONS'!AU10*1.2,'1_RAW_CORRELATIONS'!AV10*1.2,'1_RAW_CORRELATIONS'!AW10*1.3,'1_RAW_CORRELATIONS'!AX10*1)-0</f>
        <v>-5.5599106414845473E-3</v>
      </c>
      <c r="K10" s="5">
        <f>AVERAGE('1_RAW_CORRELATIONS'!AY10*1.3,'1_RAW_CORRELATIONS'!AZ10*1.1,'1_RAW_CORRELATIONS'!BA10*1,'1_RAW_CORRELATIONS'!BB10*0.9,'1_RAW_CORRELATIONS'!BC10*1.2)-0</f>
        <v>-1.340342975322022E-2</v>
      </c>
      <c r="L10" s="5">
        <f t="shared" si="0"/>
        <v>0.39705349630962733</v>
      </c>
      <c r="M10" s="5">
        <f t="shared" si="1"/>
        <v>-8.3015213610898267E-2</v>
      </c>
      <c r="N10" s="5">
        <f t="shared" si="2"/>
        <v>-7.3026485362622573E-2</v>
      </c>
      <c r="O10" s="5">
        <f t="shared" si="3"/>
        <v>-0.27608844579949365</v>
      </c>
      <c r="P10" s="5">
        <f t="shared" si="4"/>
        <v>0.22516807937282152</v>
      </c>
      <c r="Q10" s="5">
        <f t="shared" si="5"/>
        <v>-0.45686733820716335</v>
      </c>
      <c r="R10" s="5">
        <f t="shared" si="6"/>
        <v>-0.19078212288382063</v>
      </c>
      <c r="S10" s="5">
        <f t="shared" si="7"/>
        <v>-0.32192062808503041</v>
      </c>
    </row>
    <row r="11" spans="1:19" x14ac:dyDescent="0.35">
      <c r="A11" s="3" t="str">
        <f>'1_RAW_CORRELATIONS'!A11</f>
        <v>F08</v>
      </c>
      <c r="B11" s="3">
        <f>'1_RAW_CORRELATIONS'!B11</f>
        <v>8</v>
      </c>
      <c r="C11" s="3" t="str">
        <f>IF('2_FRAME_MARKUP'!E11=1,"HOOK ","" )&amp;IF('2_FRAME_MARKUP'!F11=1,"BRAND ","" )&amp;IF('2_FRAME_MARKUP'!G11=1,"PRODUCT ","" )&amp;IF('2_FRAME_MARKUP'!H11=1,"OFFER ","" )&amp;IF('2_FRAME_MARKUP'!I11=1,"CTA ","" )&amp;IF('2_FRAME_MARKUP'!J11=1,"LOGO ","" )</f>
        <v/>
      </c>
      <c r="D11" s="5">
        <f>AVERAGE('1_RAW_CORRELATIONS'!E11*1,'1_RAW_CORRELATIONS'!F11*1.2,'1_RAW_CORRELATIONS'!G11*1,'1_RAW_CORRELATIONS'!H11*1.1,'1_RAW_CORRELATIONS'!I11*1,'1_RAW_CORRELATIONS'!J11*1.2,'1_RAW_CORRELATIONS'!K11*0.7)-(MAX(0,'1_RAW_CORRELATIONS'!L11)*1)</f>
        <v>2.6765880574798728E-2</v>
      </c>
      <c r="E11" s="5">
        <f>AVERAGE('1_RAW_CORRELATIONS'!M11*1.3,'1_RAW_CORRELATIONS'!N11*1,'1_RAW_CORRELATIONS'!O11*0.5,'1_RAW_CORRELATIONS'!P11*0.6,'1_RAW_CORRELATIONS'!Q11*0.6)-0</f>
        <v>-0.16837066102467241</v>
      </c>
      <c r="F11" s="5">
        <f>AVERAGE('1_RAW_CORRELATIONS'!R11*1)-(MAX(0,'1_RAW_CORRELATIONS'!S11)*1.2+MAX(0,'1_RAW_CORRELATIONS'!T11)*1.5+MAX(0,'1_RAW_CORRELATIONS'!U11)*0.6+MAX(0,'1_RAW_CORRELATIONS'!V11)*0.5)</f>
        <v>-0.19666856510565009</v>
      </c>
      <c r="G11" s="5">
        <f>AVERAGE('1_RAW_CORRELATIONS'!W11*1.5,'1_RAW_CORRELATIONS'!X11*1.3,'1_RAW_CORRELATIONS'!Y11*1,'1_RAW_CORRELATIONS'!Z11*1,'1_RAW_CORRELATIONS'!AA11*1.1,'1_RAW_CORRELATIONS'!AB11*1,'1_RAW_CORRELATIONS'!AC11*0.9)-0</f>
        <v>9.5719943035449204E-3</v>
      </c>
      <c r="H11" s="5">
        <f>AVERAGE('1_RAW_CORRELATIONS'!AD11*1,'1_RAW_CORRELATIONS'!AE11*1.2,'1_RAW_CORRELATIONS'!AF11*1.1,'1_RAW_CORRELATIONS'!AG11*1.2,'1_RAW_CORRELATIONS'!AH11*1,'1_RAW_CORRELATIONS'!AI11*1,'1_RAW_CORRELATIONS'!AJ11*1.1,'1_RAW_CORRELATIONS'!AK11*1.1,'1_RAW_CORRELATIONS'!AL11*0.9)-0</f>
        <v>-0.1134012091990403</v>
      </c>
      <c r="I11" s="5">
        <f>AVERAGE('1_RAW_CORRELATIONS'!AM11*1,'1_RAW_CORRELATIONS'!AN11*1.2,'1_RAW_CORRELATIONS'!AO11*1,'1_RAW_CORRELATIONS'!AP11*1.3,'1_RAW_CORRELATIONS'!AQ11*1.2,'1_RAW_CORRELATIONS'!AR11*1.3,'1_RAW_CORRELATIONS'!AS11*1.1,'1_RAW_CORRELATIONS'!AT11*0.7)-0</f>
        <v>-7.8964598676896411E-2</v>
      </c>
      <c r="J11" s="5">
        <f>AVERAGE('1_RAW_CORRELATIONS'!AU11*1.2,'1_RAW_CORRELATIONS'!AV11*1.2,'1_RAW_CORRELATIONS'!AW11*1.3,'1_RAW_CORRELATIONS'!AX11*1)-0</f>
        <v>2.2974384009936843E-2</v>
      </c>
      <c r="K11" s="5">
        <f>AVERAGE('1_RAW_CORRELATIONS'!AY11*1.3,'1_RAW_CORRELATIONS'!AZ11*1.1,'1_RAW_CORRELATIONS'!BA11*1,'1_RAW_CORRELATIONS'!BB11*0.9,'1_RAW_CORRELATIONS'!BC11*1.2)-0</f>
        <v>-2.2950545946594882E-2</v>
      </c>
      <c r="L11" s="5">
        <f t="shared" si="0"/>
        <v>0.35368810181808563</v>
      </c>
      <c r="M11" s="5">
        <f t="shared" si="1"/>
        <v>-0.35209179257705159</v>
      </c>
      <c r="N11" s="5">
        <f t="shared" si="2"/>
        <v>-0.16432520666890693</v>
      </c>
      <c r="O11" s="5">
        <f t="shared" si="3"/>
        <v>-3.1233328308599137E-2</v>
      </c>
      <c r="P11" s="5">
        <f t="shared" si="4"/>
        <v>-0.13616325584039457</v>
      </c>
      <c r="Q11" s="5">
        <f t="shared" si="5"/>
        <v>-0.14548904981145253</v>
      </c>
      <c r="R11" s="5">
        <f t="shared" si="6"/>
        <v>0.18869146797402722</v>
      </c>
      <c r="S11" s="5">
        <f t="shared" si="7"/>
        <v>-0.53933461149158346</v>
      </c>
    </row>
    <row r="12" spans="1:19" x14ac:dyDescent="0.35">
      <c r="A12" s="3" t="str">
        <f>'1_RAW_CORRELATIONS'!A12</f>
        <v>F09</v>
      </c>
      <c r="B12" s="3">
        <f>'1_RAW_CORRELATIONS'!B12</f>
        <v>9</v>
      </c>
      <c r="C12" s="3" t="str">
        <f>IF('2_FRAME_MARKUP'!E12=1,"HOOK ","" )&amp;IF('2_FRAME_MARKUP'!F12=1,"BRAND ","" )&amp;IF('2_FRAME_MARKUP'!G12=1,"PRODUCT ","" )&amp;IF('2_FRAME_MARKUP'!H12=1,"OFFER ","" )&amp;IF('2_FRAME_MARKUP'!I12=1,"CTA ","" )&amp;IF('2_FRAME_MARKUP'!J12=1,"LOGO ","" )</f>
        <v/>
      </c>
      <c r="D12" s="5">
        <f>AVERAGE('1_RAW_CORRELATIONS'!E12*1,'1_RAW_CORRELATIONS'!F12*1.2,'1_RAW_CORRELATIONS'!G12*1,'1_RAW_CORRELATIONS'!H12*1.1,'1_RAW_CORRELATIONS'!I12*1,'1_RAW_CORRELATIONS'!J12*1.2,'1_RAW_CORRELATIONS'!K12*0.7)-(MAX(0,'1_RAW_CORRELATIONS'!L12)*1)</f>
        <v>2.2624658771893458E-2</v>
      </c>
      <c r="E12" s="5">
        <f>AVERAGE('1_RAW_CORRELATIONS'!M12*1.3,'1_RAW_CORRELATIONS'!N12*1,'1_RAW_CORRELATIONS'!O12*0.5,'1_RAW_CORRELATIONS'!P12*0.6,'1_RAW_CORRELATIONS'!Q12*0.6)-0</f>
        <v>-0.16396503326125106</v>
      </c>
      <c r="F12" s="5">
        <f>AVERAGE('1_RAW_CORRELATIONS'!R12*1)-(MAX(0,'1_RAW_CORRELATIONS'!S12)*1.2+MAX(0,'1_RAW_CORRELATIONS'!T12)*1.5+MAX(0,'1_RAW_CORRELATIONS'!U12)*0.6+MAX(0,'1_RAW_CORRELATIONS'!V12)*0.5)</f>
        <v>-0.182999709914761</v>
      </c>
      <c r="G12" s="5">
        <f>AVERAGE('1_RAW_CORRELATIONS'!W12*1.5,'1_RAW_CORRELATIONS'!X12*1.3,'1_RAW_CORRELATIONS'!Y12*1,'1_RAW_CORRELATIONS'!Z12*1,'1_RAW_CORRELATIONS'!AA12*1.1,'1_RAW_CORRELATIONS'!AB12*1,'1_RAW_CORRELATIONS'!AC12*0.9)-0</f>
        <v>1.8985335981649431E-2</v>
      </c>
      <c r="H12" s="5">
        <f>AVERAGE('1_RAW_CORRELATIONS'!AD12*1,'1_RAW_CORRELATIONS'!AE12*1.2,'1_RAW_CORRELATIONS'!AF12*1.1,'1_RAW_CORRELATIONS'!AG12*1.2,'1_RAW_CORRELATIONS'!AH12*1,'1_RAW_CORRELATIONS'!AI12*1,'1_RAW_CORRELATIONS'!AJ12*1.1,'1_RAW_CORRELATIONS'!AK12*1.1,'1_RAW_CORRELATIONS'!AL12*0.9)-0</f>
        <v>-0.12026862696654519</v>
      </c>
      <c r="I12" s="5">
        <f>AVERAGE('1_RAW_CORRELATIONS'!AM12*1,'1_RAW_CORRELATIONS'!AN12*1.2,'1_RAW_CORRELATIONS'!AO12*1,'1_RAW_CORRELATIONS'!AP12*1.3,'1_RAW_CORRELATIONS'!AQ12*1.2,'1_RAW_CORRELATIONS'!AR12*1.3,'1_RAW_CORRELATIONS'!AS12*1.1,'1_RAW_CORRELATIONS'!AT12*0.7)-0</f>
        <v>-6.3470590782758227E-2</v>
      </c>
      <c r="J12" s="5">
        <f>AVERAGE('1_RAW_CORRELATIONS'!AU12*1.2,'1_RAW_CORRELATIONS'!AV12*1.2,'1_RAW_CORRELATIONS'!AW12*1.3,'1_RAW_CORRELATIONS'!AX12*1)-0</f>
        <v>8.7414323997826102E-2</v>
      </c>
      <c r="K12" s="5">
        <f>AVERAGE('1_RAW_CORRELATIONS'!AY12*1.3,'1_RAW_CORRELATIONS'!AZ12*1.1,'1_RAW_CORRELATIONS'!BA12*1,'1_RAW_CORRELATIONS'!BB12*0.9,'1_RAW_CORRELATIONS'!BC12*1.2)-0</f>
        <v>-3.9440382845568125E-2</v>
      </c>
      <c r="L12" s="5">
        <f t="shared" si="0"/>
        <v>5.1807768908713643E-2</v>
      </c>
      <c r="M12" s="5">
        <f t="shared" si="1"/>
        <v>-0.15146139694157087</v>
      </c>
      <c r="N12" s="5">
        <f t="shared" si="2"/>
        <v>0.25083135062720874</v>
      </c>
      <c r="O12" s="5">
        <f t="shared" si="3"/>
        <v>0.26425984616383724</v>
      </c>
      <c r="P12" s="5">
        <f t="shared" si="4"/>
        <v>-0.29925108251243304</v>
      </c>
      <c r="Q12" s="5">
        <f t="shared" si="5"/>
        <v>8.6232632561697567E-2</v>
      </c>
      <c r="R12" s="5">
        <f t="shared" si="6"/>
        <v>1.0456692107426033</v>
      </c>
      <c r="S12" s="5">
        <f t="shared" si="7"/>
        <v>-0.91485336011832319</v>
      </c>
    </row>
    <row r="13" spans="1:19" x14ac:dyDescent="0.35">
      <c r="A13" s="3" t="str">
        <f>'1_RAW_CORRELATIONS'!A13</f>
        <v>F10</v>
      </c>
      <c r="B13" s="3">
        <f>'1_RAW_CORRELATIONS'!B13</f>
        <v>10</v>
      </c>
      <c r="C13" s="3" t="str">
        <f>IF('2_FRAME_MARKUP'!E13=1,"HOOK ","" )&amp;IF('2_FRAME_MARKUP'!F13=1,"BRAND ","" )&amp;IF('2_FRAME_MARKUP'!G13=1,"PRODUCT ","" )&amp;IF('2_FRAME_MARKUP'!H13=1,"OFFER ","" )&amp;IF('2_FRAME_MARKUP'!I13=1,"CTA ","" )&amp;IF('2_FRAME_MARKUP'!J13=1,"LOGO ","" )</f>
        <v/>
      </c>
      <c r="D13" s="5">
        <f>AVERAGE('1_RAW_CORRELATIONS'!E13*1,'1_RAW_CORRELATIONS'!F13*1.2,'1_RAW_CORRELATIONS'!G13*1,'1_RAW_CORRELATIONS'!H13*1.1,'1_RAW_CORRELATIONS'!I13*1,'1_RAW_CORRELATIONS'!J13*1.2,'1_RAW_CORRELATIONS'!K13*0.7)-(MAX(0,'1_RAW_CORRELATIONS'!L13)*1)</f>
        <v>1.7533732815291192E-2</v>
      </c>
      <c r="E13" s="5">
        <f>AVERAGE('1_RAW_CORRELATIONS'!M13*1.3,'1_RAW_CORRELATIONS'!N13*1,'1_RAW_CORRELATIONS'!O13*0.5,'1_RAW_CORRELATIONS'!P13*0.6,'1_RAW_CORRELATIONS'!Q13*0.6)-0</f>
        <v>-0.16017133966297756</v>
      </c>
      <c r="F13" s="5">
        <f>AVERAGE('1_RAW_CORRELATIONS'!R13*1)-(MAX(0,'1_RAW_CORRELATIONS'!S13)*1.2+MAX(0,'1_RAW_CORRELATIONS'!T13)*1.5+MAX(0,'1_RAW_CORRELATIONS'!U13)*0.6+MAX(0,'1_RAW_CORRELATIONS'!V13)*0.5)</f>
        <v>-0.1693631878549679</v>
      </c>
      <c r="G13" s="5">
        <f>AVERAGE('1_RAW_CORRELATIONS'!W13*1.5,'1_RAW_CORRELATIONS'!X13*1.3,'1_RAW_CORRELATIONS'!Y13*1,'1_RAW_CORRELATIONS'!Z13*1,'1_RAW_CORRELATIONS'!AA13*1.1,'1_RAW_CORRELATIONS'!AB13*1,'1_RAW_CORRELATIONS'!AC13*0.9)-0</f>
        <v>3.1329706080743751E-2</v>
      </c>
      <c r="H13" s="5">
        <f>AVERAGE('1_RAW_CORRELATIONS'!AD13*1,'1_RAW_CORRELATIONS'!AE13*1.2,'1_RAW_CORRELATIONS'!AF13*1.1,'1_RAW_CORRELATIONS'!AG13*1.2,'1_RAW_CORRELATIONS'!AH13*1,'1_RAW_CORRELATIONS'!AI13*1,'1_RAW_CORRELATIONS'!AJ13*1.1,'1_RAW_CORRELATIONS'!AK13*1.1,'1_RAW_CORRELATIONS'!AL13*0.9)-0</f>
        <v>-0.13073221225719978</v>
      </c>
      <c r="I13" s="5">
        <f>AVERAGE('1_RAW_CORRELATIONS'!AM13*1,'1_RAW_CORRELATIONS'!AN13*1.2,'1_RAW_CORRELATIONS'!AO13*1,'1_RAW_CORRELATIONS'!AP13*1.3,'1_RAW_CORRELATIONS'!AQ13*1.2,'1_RAW_CORRELATIONS'!AR13*1.3,'1_RAW_CORRELATIONS'!AS13*1.1,'1_RAW_CORRELATIONS'!AT13*0.7)-0</f>
        <v>-3.7672086685571093E-2</v>
      </c>
      <c r="J13" s="5">
        <f>AVERAGE('1_RAW_CORRELATIONS'!AU13*1.2,'1_RAW_CORRELATIONS'!AV13*1.2,'1_RAW_CORRELATIONS'!AW13*1.3,'1_RAW_CORRELATIONS'!AX13*1)-0</f>
        <v>0.13120284650044653</v>
      </c>
      <c r="K13" s="5">
        <f>AVERAGE('1_RAW_CORRELATIONS'!AY13*1.3,'1_RAW_CORRELATIONS'!AZ13*1.1,'1_RAW_CORRELATIONS'!BA13*1,'1_RAW_CORRELATIONS'!BB13*0.9,'1_RAW_CORRELATIONS'!BC13*1.2)-0</f>
        <v>-4.7820327140518815E-2</v>
      </c>
      <c r="L13" s="5">
        <f t="shared" si="0"/>
        <v>-0.31930261728646164</v>
      </c>
      <c r="M13" s="5">
        <f t="shared" si="1"/>
        <v>2.130177970736135E-2</v>
      </c>
      <c r="N13" s="5">
        <f t="shared" si="2"/>
        <v>0.66500587166608449</v>
      </c>
      <c r="O13" s="5">
        <f t="shared" si="3"/>
        <v>0.65176061179826894</v>
      </c>
      <c r="P13" s="5">
        <f t="shared" si="4"/>
        <v>-0.54774089950377269</v>
      </c>
      <c r="Q13" s="5">
        <f t="shared" si="5"/>
        <v>0.47206390442857715</v>
      </c>
      <c r="R13" s="5">
        <f t="shared" si="6"/>
        <v>1.6280066427842719</v>
      </c>
      <c r="S13" s="5">
        <f t="shared" si="7"/>
        <v>-1.1056876427422835</v>
      </c>
    </row>
    <row r="14" spans="1:19" x14ac:dyDescent="0.35">
      <c r="A14" s="3" t="str">
        <f>'1_RAW_CORRELATIONS'!A14</f>
        <v>F11</v>
      </c>
      <c r="B14" s="3">
        <f>'1_RAW_CORRELATIONS'!B14</f>
        <v>11</v>
      </c>
      <c r="C14" s="3" t="str">
        <f>IF('2_FRAME_MARKUP'!E14=1,"HOOK ","" )&amp;IF('2_FRAME_MARKUP'!F14=1,"BRAND ","" )&amp;IF('2_FRAME_MARKUP'!G14=1,"PRODUCT ","" )&amp;IF('2_FRAME_MARKUP'!H14=1,"OFFER ","" )&amp;IF('2_FRAME_MARKUP'!I14=1,"CTA ","" )&amp;IF('2_FRAME_MARKUP'!J14=1,"LOGO ","" )</f>
        <v/>
      </c>
      <c r="D14" s="5">
        <f>AVERAGE('1_RAW_CORRELATIONS'!E14*1,'1_RAW_CORRELATIONS'!F14*1.2,'1_RAW_CORRELATIONS'!G14*1,'1_RAW_CORRELATIONS'!H14*1.1,'1_RAW_CORRELATIONS'!I14*1,'1_RAW_CORRELATIONS'!J14*1.2,'1_RAW_CORRELATIONS'!K14*0.7)-(MAX(0,'1_RAW_CORRELATIONS'!L14)*1)</f>
        <v>2.1187668648299463E-2</v>
      </c>
      <c r="E14" s="5">
        <f>AVERAGE('1_RAW_CORRELATIONS'!M14*1.3,'1_RAW_CORRELATIONS'!N14*1,'1_RAW_CORRELATIONS'!O14*0.5,'1_RAW_CORRELATIONS'!P14*0.6,'1_RAW_CORRELATIONS'!Q14*0.6)-0</f>
        <v>-0.15607654730877446</v>
      </c>
      <c r="F14" s="5">
        <f>AVERAGE('1_RAW_CORRELATIONS'!R14*1)-(MAX(0,'1_RAW_CORRELATIONS'!S14)*1.2+MAX(0,'1_RAW_CORRELATIONS'!T14)*1.5+MAX(0,'1_RAW_CORRELATIONS'!U14)*0.6+MAX(0,'1_RAW_CORRELATIONS'!V14)*0.5)</f>
        <v>-0.1604868047134923</v>
      </c>
      <c r="G14" s="5">
        <f>AVERAGE('1_RAW_CORRELATIONS'!W14*1.5,'1_RAW_CORRELATIONS'!X14*1.3,'1_RAW_CORRELATIONS'!Y14*1,'1_RAW_CORRELATIONS'!Z14*1,'1_RAW_CORRELATIONS'!AA14*1.1,'1_RAW_CORRELATIONS'!AB14*1,'1_RAW_CORRELATIONS'!AC14*0.9)-0</f>
        <v>3.7378213426680587E-2</v>
      </c>
      <c r="H14" s="5">
        <f>AVERAGE('1_RAW_CORRELATIONS'!AD14*1,'1_RAW_CORRELATIONS'!AE14*1.2,'1_RAW_CORRELATIONS'!AF14*1.1,'1_RAW_CORRELATIONS'!AG14*1.2,'1_RAW_CORRELATIONS'!AH14*1,'1_RAW_CORRELATIONS'!AI14*1,'1_RAW_CORRELATIONS'!AJ14*1.1,'1_RAW_CORRELATIONS'!AK14*1.1,'1_RAW_CORRELATIONS'!AL14*0.9)-0</f>
        <v>-0.13743721990158814</v>
      </c>
      <c r="I14" s="5">
        <f>AVERAGE('1_RAW_CORRELATIONS'!AM14*1,'1_RAW_CORRELATIONS'!AN14*1.2,'1_RAW_CORRELATIONS'!AO14*1,'1_RAW_CORRELATIONS'!AP14*1.3,'1_RAW_CORRELATIONS'!AQ14*1.2,'1_RAW_CORRELATIONS'!AR14*1.3,'1_RAW_CORRELATIONS'!AS14*1.1,'1_RAW_CORRELATIONS'!AT14*0.7)-0</f>
        <v>-7.7261890377237716E-3</v>
      </c>
      <c r="J14" s="5">
        <f>AVERAGE('1_RAW_CORRELATIONS'!AU14*1.2,'1_RAW_CORRELATIONS'!AV14*1.2,'1_RAW_CORRELATIONS'!AW14*1.3,'1_RAW_CORRELATIONS'!AX14*1)-0</f>
        <v>0.13757824403595342</v>
      </c>
      <c r="K14" s="5">
        <f>AVERAGE('1_RAW_CORRELATIONS'!AY14*1.3,'1_RAW_CORRELATIONS'!AZ14*1.1,'1_RAW_CORRELATIONS'!BA14*1,'1_RAW_CORRELATIONS'!BB14*0.9,'1_RAW_CORRELATIONS'!BC14*1.2)-0</f>
        <v>-4.3499109373346626E-2</v>
      </c>
      <c r="L14" s="5">
        <f t="shared" si="0"/>
        <v>-5.2943697577264859E-2</v>
      </c>
      <c r="M14" s="5">
        <f t="shared" si="1"/>
        <v>0.20777686434567685</v>
      </c>
      <c r="N14" s="5">
        <f t="shared" si="2"/>
        <v>0.93460333354515734</v>
      </c>
      <c r="O14" s="5">
        <f t="shared" si="3"/>
        <v>0.84162864140862292</v>
      </c>
      <c r="P14" s="5">
        <f t="shared" si="4"/>
        <v>-0.70697180135991533</v>
      </c>
      <c r="Q14" s="5">
        <f t="shared" si="5"/>
        <v>0.91992180088405784</v>
      </c>
      <c r="R14" s="5">
        <f t="shared" si="6"/>
        <v>1.7127921622968263</v>
      </c>
      <c r="S14" s="5">
        <f t="shared" si="7"/>
        <v>-1.0072816792137314</v>
      </c>
    </row>
    <row r="15" spans="1:19" x14ac:dyDescent="0.35">
      <c r="A15" s="3" t="str">
        <f>'1_RAW_CORRELATIONS'!A15</f>
        <v>F12</v>
      </c>
      <c r="B15" s="3">
        <f>'1_RAW_CORRELATIONS'!B15</f>
        <v>12</v>
      </c>
      <c r="C15" s="3" t="str">
        <f>IF('2_FRAME_MARKUP'!E15=1,"HOOK ","" )&amp;IF('2_FRAME_MARKUP'!F15=1,"BRAND ","" )&amp;IF('2_FRAME_MARKUP'!G15=1,"PRODUCT ","" )&amp;IF('2_FRAME_MARKUP'!H15=1,"OFFER ","" )&amp;IF('2_FRAME_MARKUP'!I15=1,"CTA ","" )&amp;IF('2_FRAME_MARKUP'!J15=1,"LOGO ","" )</f>
        <v/>
      </c>
      <c r="D15" s="5">
        <f>AVERAGE('1_RAW_CORRELATIONS'!E15*1,'1_RAW_CORRELATIONS'!F15*1.2,'1_RAW_CORRELATIONS'!G15*1,'1_RAW_CORRELATIONS'!H15*1.1,'1_RAW_CORRELATIONS'!I15*1,'1_RAW_CORRELATIONS'!J15*1.2,'1_RAW_CORRELATIONS'!K15*0.7)-(MAX(0,'1_RAW_CORRELATIONS'!L15)*1)</f>
        <v>2.2886907270827234E-2</v>
      </c>
      <c r="E15" s="5">
        <f>AVERAGE('1_RAW_CORRELATIONS'!M15*1.3,'1_RAW_CORRELATIONS'!N15*1,'1_RAW_CORRELATIONS'!O15*0.5,'1_RAW_CORRELATIONS'!P15*0.6,'1_RAW_CORRELATIONS'!Q15*0.6)-0</f>
        <v>-0.15258871413483616</v>
      </c>
      <c r="F15" s="5">
        <f>AVERAGE('1_RAW_CORRELATIONS'!R15*1)-(MAX(0,'1_RAW_CORRELATIONS'!S15)*1.2+MAX(0,'1_RAW_CORRELATIONS'!T15)*1.5+MAX(0,'1_RAW_CORRELATIONS'!U15)*0.6+MAX(0,'1_RAW_CORRELATIONS'!V15)*0.5)</f>
        <v>-0.15694938916669193</v>
      </c>
      <c r="G15" s="5">
        <f>AVERAGE('1_RAW_CORRELATIONS'!W15*1.5,'1_RAW_CORRELATIONS'!X15*1.3,'1_RAW_CORRELATIONS'!Y15*1,'1_RAW_CORRELATIONS'!Z15*1,'1_RAW_CORRELATIONS'!AA15*1.1,'1_RAW_CORRELATIONS'!AB15*1,'1_RAW_CORRELATIONS'!AC15*0.9)-0</f>
        <v>3.8077007672149263E-2</v>
      </c>
      <c r="H15" s="5">
        <f>AVERAGE('1_RAW_CORRELATIONS'!AD15*1,'1_RAW_CORRELATIONS'!AE15*1.2,'1_RAW_CORRELATIONS'!AF15*1.1,'1_RAW_CORRELATIONS'!AG15*1.2,'1_RAW_CORRELATIONS'!AH15*1,'1_RAW_CORRELATIONS'!AI15*1,'1_RAW_CORRELATIONS'!AJ15*1.1,'1_RAW_CORRELATIONS'!AK15*1.1,'1_RAW_CORRELATIONS'!AL15*0.9)-0</f>
        <v>-0.14114989470697573</v>
      </c>
      <c r="I15" s="5">
        <f>AVERAGE('1_RAW_CORRELATIONS'!AM15*1,'1_RAW_CORRELATIONS'!AN15*1.2,'1_RAW_CORRELATIONS'!AO15*1,'1_RAW_CORRELATIONS'!AP15*1.3,'1_RAW_CORRELATIONS'!AQ15*1.2,'1_RAW_CORRELATIONS'!AR15*1.3,'1_RAW_CORRELATIONS'!AS15*1.1,'1_RAW_CORRELATIONS'!AT15*0.7)-0</f>
        <v>6.4596557104442051E-3</v>
      </c>
      <c r="J15" s="5">
        <f>AVERAGE('1_RAW_CORRELATIONS'!AU15*1.2,'1_RAW_CORRELATIONS'!AV15*1.2,'1_RAW_CORRELATIONS'!AW15*1.3,'1_RAW_CORRELATIONS'!AX15*1)-0</f>
        <v>0.13302321309943177</v>
      </c>
      <c r="K15" s="5">
        <f>AVERAGE('1_RAW_CORRELATIONS'!AY15*1.3,'1_RAW_CORRELATIONS'!AZ15*1.1,'1_RAW_CORRELATIONS'!BA15*1,'1_RAW_CORRELATIONS'!BB15*0.9,'1_RAW_CORRELATIONS'!BC15*1.2)-0</f>
        <v>-5.8421758773702134E-2</v>
      </c>
      <c r="L15" s="5">
        <f t="shared" si="0"/>
        <v>7.0924751270675351E-2</v>
      </c>
      <c r="M15" s="5">
        <f t="shared" si="1"/>
        <v>0.36661128867170484</v>
      </c>
      <c r="N15" s="5">
        <f t="shared" si="2"/>
        <v>1.0420432939241564</v>
      </c>
      <c r="O15" s="5">
        <f t="shared" si="3"/>
        <v>0.86356441479894874</v>
      </c>
      <c r="P15" s="5">
        <f t="shared" si="4"/>
        <v>-0.79514061322625473</v>
      </c>
      <c r="Q15" s="5">
        <f t="shared" si="5"/>
        <v>1.1320791609027929</v>
      </c>
      <c r="R15" s="5">
        <f t="shared" si="6"/>
        <v>1.6522154434023801</v>
      </c>
      <c r="S15" s="5">
        <f t="shared" si="7"/>
        <v>-1.3471112762769983</v>
      </c>
    </row>
    <row r="16" spans="1:19" x14ac:dyDescent="0.35">
      <c r="A16" s="3" t="str">
        <f>'1_RAW_CORRELATIONS'!A16</f>
        <v>F13</v>
      </c>
      <c r="B16" s="3">
        <f>'1_RAW_CORRELATIONS'!B16</f>
        <v>13</v>
      </c>
      <c r="C16" s="3" t="str">
        <f>IF('2_FRAME_MARKUP'!E16=1,"HOOK ","" )&amp;IF('2_FRAME_MARKUP'!F16=1,"BRAND ","" )&amp;IF('2_FRAME_MARKUP'!G16=1,"PRODUCT ","" )&amp;IF('2_FRAME_MARKUP'!H16=1,"OFFER ","" )&amp;IF('2_FRAME_MARKUP'!I16=1,"CTA ","" )&amp;IF('2_FRAME_MARKUP'!J16=1,"LOGO ","" )</f>
        <v/>
      </c>
      <c r="D16" s="5">
        <f>AVERAGE('1_RAW_CORRELATIONS'!E16*1,'1_RAW_CORRELATIONS'!F16*1.2,'1_RAW_CORRELATIONS'!G16*1,'1_RAW_CORRELATIONS'!H16*1.1,'1_RAW_CORRELATIONS'!I16*1,'1_RAW_CORRELATIONS'!J16*1.2,'1_RAW_CORRELATIONS'!K16*0.7)-(MAX(0,'1_RAW_CORRELATIONS'!L16)*1)</f>
        <v>2.9813525195316715E-2</v>
      </c>
      <c r="E16" s="5">
        <f>AVERAGE('1_RAW_CORRELATIONS'!M16*1.3,'1_RAW_CORRELATIONS'!N16*1,'1_RAW_CORRELATIONS'!O16*0.5,'1_RAW_CORRELATIONS'!P16*0.6,'1_RAW_CORRELATIONS'!Q16*0.6)-0</f>
        <v>-0.16011840179947129</v>
      </c>
      <c r="F16" s="5">
        <f>AVERAGE('1_RAW_CORRELATIONS'!R16*1)-(MAX(0,'1_RAW_CORRELATIONS'!S16)*1.2+MAX(0,'1_RAW_CORRELATIONS'!T16)*1.5+MAX(0,'1_RAW_CORRELATIONS'!U16)*0.6+MAX(0,'1_RAW_CORRELATIONS'!V16)*0.5)</f>
        <v>-0.1728863604781902</v>
      </c>
      <c r="G16" s="5">
        <f>AVERAGE('1_RAW_CORRELATIONS'!W16*1.5,'1_RAW_CORRELATIONS'!X16*1.3,'1_RAW_CORRELATIONS'!Y16*1,'1_RAW_CORRELATIONS'!Z16*1,'1_RAW_CORRELATIONS'!AA16*1.1,'1_RAW_CORRELATIONS'!AB16*1,'1_RAW_CORRELATIONS'!AC16*0.9)-0</f>
        <v>2.1730044565889745E-2</v>
      </c>
      <c r="H16" s="5">
        <f>AVERAGE('1_RAW_CORRELATIONS'!AD16*1,'1_RAW_CORRELATIONS'!AE16*1.2,'1_RAW_CORRELATIONS'!AF16*1.1,'1_RAW_CORRELATIONS'!AG16*1.2,'1_RAW_CORRELATIONS'!AH16*1,'1_RAW_CORRELATIONS'!AI16*1,'1_RAW_CORRELATIONS'!AJ16*1.1,'1_RAW_CORRELATIONS'!AK16*1.1,'1_RAW_CORRELATIONS'!AL16*0.9)-0</f>
        <v>-0.13762992872678781</v>
      </c>
      <c r="I16" s="5">
        <f>AVERAGE('1_RAW_CORRELATIONS'!AM16*1,'1_RAW_CORRELATIONS'!AN16*1.2,'1_RAW_CORRELATIONS'!AO16*1,'1_RAW_CORRELATIONS'!AP16*1.3,'1_RAW_CORRELATIONS'!AQ16*1.2,'1_RAW_CORRELATIONS'!AR16*1.3,'1_RAW_CORRELATIONS'!AS16*1.1,'1_RAW_CORRELATIONS'!AT16*0.7)-0</f>
        <v>-1.2077640346104082E-2</v>
      </c>
      <c r="J16" s="5">
        <f>AVERAGE('1_RAW_CORRELATIONS'!AU16*1.2,'1_RAW_CORRELATIONS'!AV16*1.2,'1_RAW_CORRELATIONS'!AW16*1.3,'1_RAW_CORRELATIONS'!AX16*1)-0</f>
        <v>7.9841439669830247E-2</v>
      </c>
      <c r="K16" s="5">
        <f>AVERAGE('1_RAW_CORRELATIONS'!AY16*1.3,'1_RAW_CORRELATIONS'!AZ16*1.1,'1_RAW_CORRELATIONS'!BA16*1,'1_RAW_CORRELATIONS'!BB16*0.9,'1_RAW_CORRELATIONS'!BC16*1.2)-0</f>
        <v>-3.1510330736318218E-2</v>
      </c>
      <c r="L16" s="5">
        <f t="shared" si="0"/>
        <v>0.57585054962177107</v>
      </c>
      <c r="M16" s="5">
        <f t="shared" si="1"/>
        <v>2.3712547268693363E-2</v>
      </c>
      <c r="N16" s="5">
        <f t="shared" si="2"/>
        <v>0.55799850370509907</v>
      </c>
      <c r="O16" s="5">
        <f t="shared" si="3"/>
        <v>0.35041869179943197</v>
      </c>
      <c r="P16" s="5">
        <f t="shared" si="4"/>
        <v>-0.71154826147146544</v>
      </c>
      <c r="Q16" s="5">
        <f t="shared" si="5"/>
        <v>0.85484337670665644</v>
      </c>
      <c r="R16" s="5">
        <f t="shared" si="6"/>
        <v>0.94495848197915178</v>
      </c>
      <c r="S16" s="5">
        <f t="shared" si="7"/>
        <v>-0.7342643547294474</v>
      </c>
    </row>
    <row r="17" spans="1:19" x14ac:dyDescent="0.35">
      <c r="A17" s="3" t="str">
        <f>'1_RAW_CORRELATIONS'!A17</f>
        <v>F14</v>
      </c>
      <c r="B17" s="3">
        <f>'1_RAW_CORRELATIONS'!B17</f>
        <v>14</v>
      </c>
      <c r="C17" s="3" t="str">
        <f>IF('2_FRAME_MARKUP'!E17=1,"HOOK ","" )&amp;IF('2_FRAME_MARKUP'!F17=1,"BRAND ","" )&amp;IF('2_FRAME_MARKUP'!G17=1,"PRODUCT ","" )&amp;IF('2_FRAME_MARKUP'!H17=1,"OFFER ","" )&amp;IF('2_FRAME_MARKUP'!I17=1,"CTA ","" )&amp;IF('2_FRAME_MARKUP'!J17=1,"LOGO ","" )</f>
        <v/>
      </c>
      <c r="D17" s="5">
        <f>AVERAGE('1_RAW_CORRELATIONS'!E17*1,'1_RAW_CORRELATIONS'!F17*1.2,'1_RAW_CORRELATIONS'!G17*1,'1_RAW_CORRELATIONS'!H17*1.1,'1_RAW_CORRELATIONS'!I17*1,'1_RAW_CORRELATIONS'!J17*1.2,'1_RAW_CORRELATIONS'!K17*0.7)-(MAX(0,'1_RAW_CORRELATIONS'!L17)*1)</f>
        <v>3.8661524110226553E-2</v>
      </c>
      <c r="E17" s="5">
        <f>AVERAGE('1_RAW_CORRELATIONS'!M17*1.3,'1_RAW_CORRELATIONS'!N17*1,'1_RAW_CORRELATIONS'!O17*0.5,'1_RAW_CORRELATIONS'!P17*0.6,'1_RAW_CORRELATIONS'!Q17*0.6)-0</f>
        <v>-0.15691854094245941</v>
      </c>
      <c r="F17" s="5">
        <f>AVERAGE('1_RAW_CORRELATIONS'!R17*1)-(MAX(0,'1_RAW_CORRELATIONS'!S17)*1.2+MAX(0,'1_RAW_CORRELATIONS'!T17)*1.5+MAX(0,'1_RAW_CORRELATIONS'!U17)*0.6+MAX(0,'1_RAW_CORRELATIONS'!V17)*0.5)</f>
        <v>-0.17421029564302859</v>
      </c>
      <c r="G17" s="5">
        <f>AVERAGE('1_RAW_CORRELATIONS'!W17*1.5,'1_RAW_CORRELATIONS'!X17*1.3,'1_RAW_CORRELATIONS'!Y17*1,'1_RAW_CORRELATIONS'!Z17*1,'1_RAW_CORRELATIONS'!AA17*1.1,'1_RAW_CORRELATIONS'!AB17*1,'1_RAW_CORRELATIONS'!AC17*0.9)-0</f>
        <v>2.1063542246501366E-2</v>
      </c>
      <c r="H17" s="5">
        <f>AVERAGE('1_RAW_CORRELATIONS'!AD17*1,'1_RAW_CORRELATIONS'!AE17*1.2,'1_RAW_CORRELATIONS'!AF17*1.1,'1_RAW_CORRELATIONS'!AG17*1.2,'1_RAW_CORRELATIONS'!AH17*1,'1_RAW_CORRELATIONS'!AI17*1,'1_RAW_CORRELATIONS'!AJ17*1.1,'1_RAW_CORRELATIONS'!AK17*1.1,'1_RAW_CORRELATIONS'!AL17*0.9)-0</f>
        <v>-0.13147197999535121</v>
      </c>
      <c r="I17" s="5">
        <f>AVERAGE('1_RAW_CORRELATIONS'!AM17*1,'1_RAW_CORRELATIONS'!AN17*1.2,'1_RAW_CORRELATIONS'!AO17*1,'1_RAW_CORRELATIONS'!AP17*1.3,'1_RAW_CORRELATIONS'!AQ17*1.2,'1_RAW_CORRELATIONS'!AR17*1.3,'1_RAW_CORRELATIONS'!AS17*1.1,'1_RAW_CORRELATIONS'!AT17*0.7)-0</f>
        <v>5.0425073531144334E-3</v>
      </c>
      <c r="J17" s="5">
        <f>AVERAGE('1_RAW_CORRELATIONS'!AU17*1.2,'1_RAW_CORRELATIONS'!AV17*1.2,'1_RAW_CORRELATIONS'!AW17*1.3,'1_RAW_CORRELATIONS'!AX17*1)-0</f>
        <v>2.2067248802408991E-2</v>
      </c>
      <c r="K17" s="5">
        <f>AVERAGE('1_RAW_CORRELATIONS'!AY17*1.3,'1_RAW_CORRELATIONS'!AZ17*1.1,'1_RAW_CORRELATIONS'!BA17*1,'1_RAW_CORRELATIONS'!BB17*0.9,'1_RAW_CORRELATIONS'!BC17*1.2)-0</f>
        <v>-1.6380354733104296E-2</v>
      </c>
      <c r="L17" s="5">
        <f t="shared" si="0"/>
        <v>1.2208381849473846</v>
      </c>
      <c r="M17" s="5">
        <f t="shared" si="1"/>
        <v>0.1694328359982662</v>
      </c>
      <c r="N17" s="5">
        <f t="shared" si="2"/>
        <v>0.51778735526276776</v>
      </c>
      <c r="O17" s="5">
        <f t="shared" si="3"/>
        <v>0.3294965907131181</v>
      </c>
      <c r="P17" s="5">
        <f t="shared" si="4"/>
        <v>-0.56530894571003121</v>
      </c>
      <c r="Q17" s="5">
        <f t="shared" si="5"/>
        <v>1.1108849028530705</v>
      </c>
      <c r="R17" s="5">
        <f t="shared" si="6"/>
        <v>0.17662760381339604</v>
      </c>
      <c r="S17" s="5">
        <f t="shared" si="7"/>
        <v>-0.38971336309209142</v>
      </c>
    </row>
    <row r="18" spans="1:19" x14ac:dyDescent="0.35">
      <c r="A18" s="3" t="str">
        <f>'1_RAW_CORRELATIONS'!A18</f>
        <v>F15</v>
      </c>
      <c r="B18" s="3">
        <f>'1_RAW_CORRELATIONS'!B18</f>
        <v>15</v>
      </c>
      <c r="C18" s="3" t="str">
        <f>IF('2_FRAME_MARKUP'!E18=1,"HOOK ","" )&amp;IF('2_FRAME_MARKUP'!F18=1,"BRAND ","" )&amp;IF('2_FRAME_MARKUP'!G18=1,"PRODUCT ","" )&amp;IF('2_FRAME_MARKUP'!H18=1,"OFFER ","" )&amp;IF('2_FRAME_MARKUP'!I18=1,"CTA ","" )&amp;IF('2_FRAME_MARKUP'!J18=1,"LOGO ","" )</f>
        <v/>
      </c>
      <c r="D18" s="5">
        <f>AVERAGE('1_RAW_CORRELATIONS'!E18*1,'1_RAW_CORRELATIONS'!F18*1.2,'1_RAW_CORRELATIONS'!G18*1,'1_RAW_CORRELATIONS'!H18*1.1,'1_RAW_CORRELATIONS'!I18*1,'1_RAW_CORRELATIONS'!J18*1.2,'1_RAW_CORRELATIONS'!K18*0.7)-(MAX(0,'1_RAW_CORRELATIONS'!L18)*1)</f>
        <v>3.377608079850461E-2</v>
      </c>
      <c r="E18" s="5">
        <f>AVERAGE('1_RAW_CORRELATIONS'!M18*1.3,'1_RAW_CORRELATIONS'!N18*1,'1_RAW_CORRELATIONS'!O18*0.5,'1_RAW_CORRELATIONS'!P18*0.6,'1_RAW_CORRELATIONS'!Q18*0.6)-0</f>
        <v>-0.16666641735409085</v>
      </c>
      <c r="F18" s="5">
        <f>AVERAGE('1_RAW_CORRELATIONS'!R18*1)-(MAX(0,'1_RAW_CORRELATIONS'!S18)*1.2+MAX(0,'1_RAW_CORRELATIONS'!T18)*1.5+MAX(0,'1_RAW_CORRELATIONS'!U18)*0.6+MAX(0,'1_RAW_CORRELATIONS'!V18)*0.5)</f>
        <v>-0.19169334934229049</v>
      </c>
      <c r="G18" s="5">
        <f>AVERAGE('1_RAW_CORRELATIONS'!W18*1.5,'1_RAW_CORRELATIONS'!X18*1.3,'1_RAW_CORRELATIONS'!Y18*1,'1_RAW_CORRELATIONS'!Z18*1,'1_RAW_CORRELATIONS'!AA18*1.1,'1_RAW_CORRELATIONS'!AB18*1,'1_RAW_CORRELATIONS'!AC18*0.9)-0</f>
        <v>1.0467572645442676E-2</v>
      </c>
      <c r="H18" s="5">
        <f>AVERAGE('1_RAW_CORRELATIONS'!AD18*1,'1_RAW_CORRELATIONS'!AE18*1.2,'1_RAW_CORRELATIONS'!AF18*1.1,'1_RAW_CORRELATIONS'!AG18*1.2,'1_RAW_CORRELATIONS'!AH18*1,'1_RAW_CORRELATIONS'!AI18*1,'1_RAW_CORRELATIONS'!AJ18*1.1,'1_RAW_CORRELATIONS'!AK18*1.1,'1_RAW_CORRELATIONS'!AL18*0.9)-0</f>
        <v>-0.13245333738366516</v>
      </c>
      <c r="I18" s="5">
        <f>AVERAGE('1_RAW_CORRELATIONS'!AM18*1,'1_RAW_CORRELATIONS'!AN18*1.2,'1_RAW_CORRELATIONS'!AO18*1,'1_RAW_CORRELATIONS'!AP18*1.3,'1_RAW_CORRELATIONS'!AQ18*1.2,'1_RAW_CORRELATIONS'!AR18*1.3,'1_RAW_CORRELATIONS'!AS18*1.1,'1_RAW_CORRELATIONS'!AT18*0.7)-0</f>
        <v>-1.4647698000044288E-2</v>
      </c>
      <c r="J18" s="5">
        <f>AVERAGE('1_RAW_CORRELATIONS'!AU18*1.2,'1_RAW_CORRELATIONS'!AV18*1.2,'1_RAW_CORRELATIONS'!AW18*1.3,'1_RAW_CORRELATIONS'!AX18*1)-0</f>
        <v>2.9018387202123172E-3</v>
      </c>
      <c r="K18" s="5">
        <f>AVERAGE('1_RAW_CORRELATIONS'!AY18*1.3,'1_RAW_CORRELATIONS'!AZ18*1.1,'1_RAW_CORRELATIONS'!BA18*1,'1_RAW_CORRELATIONS'!BB18*0.9,'1_RAW_CORRELATIONS'!BC18*1.2)-0</f>
        <v>-4.884919137894461E-4</v>
      </c>
      <c r="L18" s="5">
        <f t="shared" si="0"/>
        <v>0.86470675235475525</v>
      </c>
      <c r="M18" s="5">
        <f t="shared" si="1"/>
        <v>-0.27448126798236616</v>
      </c>
      <c r="N18" s="5">
        <f t="shared" si="2"/>
        <v>-1.3215737786795747E-2</v>
      </c>
      <c r="O18" s="5">
        <f t="shared" si="3"/>
        <v>-3.1203269658690866E-3</v>
      </c>
      <c r="P18" s="5">
        <f t="shared" si="4"/>
        <v>-0.58861427663164478</v>
      </c>
      <c r="Q18" s="5">
        <f t="shared" si="5"/>
        <v>0.81640670574095209</v>
      </c>
      <c r="R18" s="5">
        <f t="shared" si="6"/>
        <v>-7.8250502444334485E-2</v>
      </c>
      <c r="S18" s="5">
        <f t="shared" si="7"/>
        <v>-2.7812121993187191E-2</v>
      </c>
    </row>
    <row r="19" spans="1:19" x14ac:dyDescent="0.35">
      <c r="A19" s="3" t="str">
        <f>'1_RAW_CORRELATIONS'!A19</f>
        <v>F16</v>
      </c>
      <c r="B19" s="3">
        <f>'1_RAW_CORRELATIONS'!B19</f>
        <v>16</v>
      </c>
      <c r="C19" s="3" t="str">
        <f>IF('2_FRAME_MARKUP'!E19=1,"HOOK ","" )&amp;IF('2_FRAME_MARKUP'!F19=1,"BRAND ","" )&amp;IF('2_FRAME_MARKUP'!G19=1,"PRODUCT ","" )&amp;IF('2_FRAME_MARKUP'!H19=1,"OFFER ","" )&amp;IF('2_FRAME_MARKUP'!I19=1,"CTA ","" )&amp;IF('2_FRAME_MARKUP'!J19=1,"LOGO ","" )</f>
        <v/>
      </c>
      <c r="D19" s="5">
        <f>AVERAGE('1_RAW_CORRELATIONS'!E19*1,'1_RAW_CORRELATIONS'!F19*1.2,'1_RAW_CORRELATIONS'!G19*1,'1_RAW_CORRELATIONS'!H19*1.1,'1_RAW_CORRELATIONS'!I19*1,'1_RAW_CORRELATIONS'!J19*1.2,'1_RAW_CORRELATIONS'!K19*0.7)-(MAX(0,'1_RAW_CORRELATIONS'!L19)*1)</f>
        <v>3.6259536728207364E-2</v>
      </c>
      <c r="E19" s="5">
        <f>AVERAGE('1_RAW_CORRELATIONS'!M19*1.3,'1_RAW_CORRELATIONS'!N19*1,'1_RAW_CORRELATIONS'!O19*0.5,'1_RAW_CORRELATIONS'!P19*0.6,'1_RAW_CORRELATIONS'!Q19*0.6)-0</f>
        <v>-0.1654340646813251</v>
      </c>
      <c r="F19" s="5">
        <f>AVERAGE('1_RAW_CORRELATIONS'!R19*1)-(MAX(0,'1_RAW_CORRELATIONS'!S19)*1.2+MAX(0,'1_RAW_CORRELATIONS'!T19)*1.5+MAX(0,'1_RAW_CORRELATIONS'!U19)*0.6+MAX(0,'1_RAW_CORRELATIONS'!V19)*0.5)</f>
        <v>-0.1857418755207329</v>
      </c>
      <c r="G19" s="5">
        <f>AVERAGE('1_RAW_CORRELATIONS'!W19*1.5,'1_RAW_CORRELATIONS'!X19*1.3,'1_RAW_CORRELATIONS'!Y19*1,'1_RAW_CORRELATIONS'!Z19*1,'1_RAW_CORRELATIONS'!AA19*1.1,'1_RAW_CORRELATIONS'!AB19*1,'1_RAW_CORRELATIONS'!AC19*0.9)-0</f>
        <v>2.4559482197331901E-2</v>
      </c>
      <c r="H19" s="5">
        <f>AVERAGE('1_RAW_CORRELATIONS'!AD19*1,'1_RAW_CORRELATIONS'!AE19*1.2,'1_RAW_CORRELATIONS'!AF19*1.1,'1_RAW_CORRELATIONS'!AG19*1.2,'1_RAW_CORRELATIONS'!AH19*1,'1_RAW_CORRELATIONS'!AI19*1,'1_RAW_CORRELATIONS'!AJ19*1.1,'1_RAW_CORRELATIONS'!AK19*1.1,'1_RAW_CORRELATIONS'!AL19*0.9)-0</f>
        <v>-0.1223632251040724</v>
      </c>
      <c r="I19" s="5">
        <f>AVERAGE('1_RAW_CORRELATIONS'!AM19*1,'1_RAW_CORRELATIONS'!AN19*1.2,'1_RAW_CORRELATIONS'!AO19*1,'1_RAW_CORRELATIONS'!AP19*1.3,'1_RAW_CORRELATIONS'!AQ19*1.2,'1_RAW_CORRELATIONS'!AR19*1.3,'1_RAW_CORRELATIONS'!AS19*1.1,'1_RAW_CORRELATIONS'!AT19*0.7)-0</f>
        <v>-1.8424630374047599E-2</v>
      </c>
      <c r="J19" s="5">
        <f>AVERAGE('1_RAW_CORRELATIONS'!AU19*1.2,'1_RAW_CORRELATIONS'!AV19*1.2,'1_RAW_CORRELATIONS'!AW19*1.3,'1_RAW_CORRELATIONS'!AX19*1)-0</f>
        <v>-2.8318611200667046E-2</v>
      </c>
      <c r="K19" s="5">
        <f>AVERAGE('1_RAW_CORRELATIONS'!AY19*1.3,'1_RAW_CORRELATIONS'!AZ19*1.1,'1_RAW_CORRELATIONS'!BA19*1,'1_RAW_CORRELATIONS'!BB19*0.9,'1_RAW_CORRELATIONS'!BC19*1.2)-0</f>
        <v>-1.1929303765652044E-3</v>
      </c>
      <c r="L19" s="5">
        <f t="shared" si="0"/>
        <v>1.0457418522613735</v>
      </c>
      <c r="M19" s="5">
        <f t="shared" si="1"/>
        <v>-0.21836045669815862</v>
      </c>
      <c r="N19" s="5">
        <f t="shared" si="2"/>
        <v>0.16754507561641446</v>
      </c>
      <c r="O19" s="5">
        <f t="shared" si="3"/>
        <v>0.43923725764744959</v>
      </c>
      <c r="P19" s="5">
        <f t="shared" si="4"/>
        <v>-0.34899371789090133</v>
      </c>
      <c r="Q19" s="5">
        <f t="shared" si="5"/>
        <v>0.75992053832104423</v>
      </c>
      <c r="R19" s="5">
        <f t="shared" si="6"/>
        <v>-0.49344689627156185</v>
      </c>
      <c r="S19" s="5">
        <f t="shared" si="7"/>
        <v>-4.3854115109721176E-2</v>
      </c>
    </row>
    <row r="20" spans="1:19" x14ac:dyDescent="0.35">
      <c r="A20" s="3" t="str">
        <f>'1_RAW_CORRELATIONS'!A20</f>
        <v>F17</v>
      </c>
      <c r="B20" s="3">
        <f>'1_RAW_CORRELATIONS'!B20</f>
        <v>17</v>
      </c>
      <c r="C20" s="3" t="str">
        <f>IF('2_FRAME_MARKUP'!E20=1,"HOOK ","" )&amp;IF('2_FRAME_MARKUP'!F20=1,"BRAND ","" )&amp;IF('2_FRAME_MARKUP'!G20=1,"PRODUCT ","" )&amp;IF('2_FRAME_MARKUP'!H20=1,"OFFER ","" )&amp;IF('2_FRAME_MARKUP'!I20=1,"CTA ","" )&amp;IF('2_FRAME_MARKUP'!J20=1,"LOGO ","" )</f>
        <v/>
      </c>
      <c r="D20" s="5">
        <f>AVERAGE('1_RAW_CORRELATIONS'!E20*1,'1_RAW_CORRELATIONS'!F20*1.2,'1_RAW_CORRELATIONS'!G20*1,'1_RAW_CORRELATIONS'!H20*1.1,'1_RAW_CORRELATIONS'!I20*1,'1_RAW_CORRELATIONS'!J20*1.2,'1_RAW_CORRELATIONS'!K20*0.7)-(MAX(0,'1_RAW_CORRELATIONS'!L20)*1)</f>
        <v>3.8981222411333227E-2</v>
      </c>
      <c r="E20" s="5">
        <f>AVERAGE('1_RAW_CORRELATIONS'!M20*1.3,'1_RAW_CORRELATIONS'!N20*1,'1_RAW_CORRELATIONS'!O20*0.5,'1_RAW_CORRELATIONS'!P20*0.6,'1_RAW_CORRELATIONS'!Q20*0.6)-0</f>
        <v>-0.15811000631022665</v>
      </c>
      <c r="F20" s="5">
        <f>AVERAGE('1_RAW_CORRELATIONS'!R20*1)-(MAX(0,'1_RAW_CORRELATIONS'!S20)*1.2+MAX(0,'1_RAW_CORRELATIONS'!T20)*1.5+MAX(0,'1_RAW_CORRELATIONS'!U20)*0.6+MAX(0,'1_RAW_CORRELATIONS'!V20)*0.5)</f>
        <v>-0.1715594814608902</v>
      </c>
      <c r="G20" s="5">
        <f>AVERAGE('1_RAW_CORRELATIONS'!W20*1.5,'1_RAW_CORRELATIONS'!X20*1.3,'1_RAW_CORRELATIONS'!Y20*1,'1_RAW_CORRELATIONS'!Z20*1,'1_RAW_CORRELATIONS'!AA20*1.1,'1_RAW_CORRELATIONS'!AB20*1,'1_RAW_CORRELATIONS'!AC20*0.9)-0</f>
        <v>4.4987500983903535E-2</v>
      </c>
      <c r="H20" s="5">
        <f>AVERAGE('1_RAW_CORRELATIONS'!AD20*1,'1_RAW_CORRELATIONS'!AE20*1.2,'1_RAW_CORRELATIONS'!AF20*1.1,'1_RAW_CORRELATIONS'!AG20*1.2,'1_RAW_CORRELATIONS'!AH20*1,'1_RAW_CORRELATIONS'!AI20*1,'1_RAW_CORRELATIONS'!AJ20*1.1,'1_RAW_CORRELATIONS'!AK20*1.1,'1_RAW_CORRELATIONS'!AL20*0.9)-0</f>
        <v>-0.11064679037685012</v>
      </c>
      <c r="I20" s="5">
        <f>AVERAGE('1_RAW_CORRELATIONS'!AM20*1,'1_RAW_CORRELATIONS'!AN20*1.2,'1_RAW_CORRELATIONS'!AO20*1,'1_RAW_CORRELATIONS'!AP20*1.3,'1_RAW_CORRELATIONS'!AQ20*1.2,'1_RAW_CORRELATIONS'!AR20*1.3,'1_RAW_CORRELATIONS'!AS20*1.1,'1_RAW_CORRELATIONS'!AT20*0.7)-0</f>
        <v>-6.2576927177889381E-3</v>
      </c>
      <c r="J20" s="5">
        <f>AVERAGE('1_RAW_CORRELATIONS'!AU20*1.2,'1_RAW_CORRELATIONS'!AV20*1.2,'1_RAW_CORRELATIONS'!AW20*1.3,'1_RAW_CORRELATIONS'!AX20*1)-0</f>
        <v>-4.8431808489527467E-2</v>
      </c>
      <c r="K20" s="5">
        <f>AVERAGE('1_RAW_CORRELATIONS'!AY20*1.3,'1_RAW_CORRELATIONS'!AZ20*1.1,'1_RAW_CORRELATIONS'!BA20*1,'1_RAW_CORRELATIONS'!BB20*0.9,'1_RAW_CORRELATIONS'!BC20*1.2)-0</f>
        <v>-1.809024181899621E-3</v>
      </c>
      <c r="L20" s="5">
        <f t="shared" si="0"/>
        <v>1.2441430534528426</v>
      </c>
      <c r="M20" s="5">
        <f t="shared" si="1"/>
        <v>0.11517401501801258</v>
      </c>
      <c r="N20" s="5">
        <f t="shared" si="2"/>
        <v>0.59829906414544198</v>
      </c>
      <c r="O20" s="5">
        <f t="shared" si="3"/>
        <v>1.080490951164937</v>
      </c>
      <c r="P20" s="5">
        <f t="shared" si="4"/>
        <v>-7.0751161416617664E-2</v>
      </c>
      <c r="Q20" s="5">
        <f t="shared" si="5"/>
        <v>0.94188399685936897</v>
      </c>
      <c r="R20" s="5">
        <f t="shared" si="6"/>
        <v>-0.76092949193670456</v>
      </c>
      <c r="S20" s="5">
        <f t="shared" si="7"/>
        <v>-5.7884258417583233E-2</v>
      </c>
    </row>
    <row r="21" spans="1:19" x14ac:dyDescent="0.35">
      <c r="A21" s="3" t="str">
        <f>'1_RAW_CORRELATIONS'!A21</f>
        <v>F18</v>
      </c>
      <c r="B21" s="3">
        <f>'1_RAW_CORRELATIONS'!B21</f>
        <v>18</v>
      </c>
      <c r="C21" s="3" t="str">
        <f>IF('2_FRAME_MARKUP'!E21=1,"HOOK ","" )&amp;IF('2_FRAME_MARKUP'!F21=1,"BRAND ","" )&amp;IF('2_FRAME_MARKUP'!G21=1,"PRODUCT ","" )&amp;IF('2_FRAME_MARKUP'!H21=1,"OFFER ","" )&amp;IF('2_FRAME_MARKUP'!I21=1,"CTA ","" )&amp;IF('2_FRAME_MARKUP'!J21=1,"LOGO ","" )</f>
        <v/>
      </c>
      <c r="D21" s="5">
        <f>AVERAGE('1_RAW_CORRELATIONS'!E21*1,'1_RAW_CORRELATIONS'!F21*1.2,'1_RAW_CORRELATIONS'!G21*1,'1_RAW_CORRELATIONS'!H21*1.1,'1_RAW_CORRELATIONS'!I21*1,'1_RAW_CORRELATIONS'!J21*1.2,'1_RAW_CORRELATIONS'!K21*0.7)-(MAX(0,'1_RAW_CORRELATIONS'!L21)*1)</f>
        <v>3.4926901365815027E-2</v>
      </c>
      <c r="E21" s="5">
        <f>AVERAGE('1_RAW_CORRELATIONS'!M21*1.3,'1_RAW_CORRELATIONS'!N21*1,'1_RAW_CORRELATIONS'!O21*0.5,'1_RAW_CORRELATIONS'!P21*0.6,'1_RAW_CORRELATIONS'!Q21*0.6)-0</f>
        <v>-0.16739790322881656</v>
      </c>
      <c r="F21" s="5">
        <f>AVERAGE('1_RAW_CORRELATIONS'!R21*1)-(MAX(0,'1_RAW_CORRELATIONS'!S21)*1.2+MAX(0,'1_RAW_CORRELATIONS'!T21)*1.5+MAX(0,'1_RAW_CORRELATIONS'!U21)*0.6+MAX(0,'1_RAW_CORRELATIONS'!V21)*0.5)</f>
        <v>-0.1864322251108102</v>
      </c>
      <c r="G21" s="5">
        <f>AVERAGE('1_RAW_CORRELATIONS'!W21*1.5,'1_RAW_CORRELATIONS'!X21*1.3,'1_RAW_CORRELATIONS'!Y21*1,'1_RAW_CORRELATIONS'!Z21*1,'1_RAW_CORRELATIONS'!AA21*1.1,'1_RAW_CORRELATIONS'!AB21*1,'1_RAW_CORRELATIONS'!AC21*0.9)-0</f>
        <v>3.7070200469631429E-2</v>
      </c>
      <c r="H21" s="5">
        <f>AVERAGE('1_RAW_CORRELATIONS'!AD21*1,'1_RAW_CORRELATIONS'!AE21*1.2,'1_RAW_CORRELATIONS'!AF21*1.1,'1_RAW_CORRELATIONS'!AG21*1.2,'1_RAW_CORRELATIONS'!AH21*1,'1_RAW_CORRELATIONS'!AI21*1,'1_RAW_CORRELATIONS'!AJ21*1.1,'1_RAW_CORRELATIONS'!AK21*1.1,'1_RAW_CORRELATIONS'!AL21*0.9)-0</f>
        <v>-0.11949259970440362</v>
      </c>
      <c r="I21" s="5">
        <f>AVERAGE('1_RAW_CORRELATIONS'!AM21*1,'1_RAW_CORRELATIONS'!AN21*1.2,'1_RAW_CORRELATIONS'!AO21*1,'1_RAW_CORRELATIONS'!AP21*1.3,'1_RAW_CORRELATIONS'!AQ21*1.2,'1_RAW_CORRELATIONS'!AR21*1.3,'1_RAW_CORRELATIONS'!AS21*1.1,'1_RAW_CORRELATIONS'!AT21*0.7)-0</f>
        <v>-1.8594547878861969E-2</v>
      </c>
      <c r="J21" s="5">
        <f>AVERAGE('1_RAW_CORRELATIONS'!AU21*1.2,'1_RAW_CORRELATIONS'!AV21*1.2,'1_RAW_CORRELATIONS'!AW21*1.3,'1_RAW_CORRELATIONS'!AX21*1)-0</f>
        <v>-1.3791408998661148E-2</v>
      </c>
      <c r="K21" s="5">
        <f>AVERAGE('1_RAW_CORRELATIONS'!AY21*1.3,'1_RAW_CORRELATIONS'!AZ21*1.1,'1_RAW_CORRELATIONS'!BA21*1,'1_RAW_CORRELATIONS'!BB21*0.9,'1_RAW_CORRELATIONS'!BC21*1.2)-0</f>
        <v>3.6044085123598637E-3</v>
      </c>
      <c r="L21" s="5">
        <f t="shared" si="0"/>
        <v>0.94859747652096538</v>
      </c>
      <c r="M21" s="5">
        <f t="shared" si="1"/>
        <v>-0.30779282046223677</v>
      </c>
      <c r="N21" s="5">
        <f t="shared" si="2"/>
        <v>0.14657747041870117</v>
      </c>
      <c r="O21" s="5">
        <f t="shared" si="3"/>
        <v>0.83195984051204008</v>
      </c>
      <c r="P21" s="5">
        <f t="shared" si="4"/>
        <v>-0.2808219430737669</v>
      </c>
      <c r="Q21" s="5">
        <f t="shared" si="5"/>
        <v>0.75737932559227505</v>
      </c>
      <c r="R21" s="5">
        <f t="shared" si="6"/>
        <v>-0.30025166744053816</v>
      </c>
      <c r="S21" s="5">
        <f t="shared" si="7"/>
        <v>6.5394430363745995E-2</v>
      </c>
    </row>
    <row r="22" spans="1:19" x14ac:dyDescent="0.35">
      <c r="A22" s="3" t="str">
        <f>'1_RAW_CORRELATIONS'!A22</f>
        <v>F19</v>
      </c>
      <c r="B22" s="3">
        <f>'1_RAW_CORRELATIONS'!B22</f>
        <v>19</v>
      </c>
      <c r="C22" s="3" t="str">
        <f>IF('2_FRAME_MARKUP'!E22=1,"HOOK ","" )&amp;IF('2_FRAME_MARKUP'!F22=1,"BRAND ","" )&amp;IF('2_FRAME_MARKUP'!G22=1,"PRODUCT ","" )&amp;IF('2_FRAME_MARKUP'!H22=1,"OFFER ","" )&amp;IF('2_FRAME_MARKUP'!I22=1,"CTA ","" )&amp;IF('2_FRAME_MARKUP'!J22=1,"LOGO ","" )</f>
        <v/>
      </c>
      <c r="D22" s="5">
        <f>AVERAGE('1_RAW_CORRELATIONS'!E22*1,'1_RAW_CORRELATIONS'!F22*1.2,'1_RAW_CORRELATIONS'!G22*1,'1_RAW_CORRELATIONS'!H22*1.1,'1_RAW_CORRELATIONS'!I22*1,'1_RAW_CORRELATIONS'!J22*1.2,'1_RAW_CORRELATIONS'!K22*0.7)-(MAX(0,'1_RAW_CORRELATIONS'!L22)*1)</f>
        <v>2.7790006182576571E-2</v>
      </c>
      <c r="E22" s="5">
        <f>AVERAGE('1_RAW_CORRELATIONS'!M22*1.3,'1_RAW_CORRELATIONS'!N22*1,'1_RAW_CORRELATIONS'!O22*0.5,'1_RAW_CORRELATIONS'!P22*0.6,'1_RAW_CORRELATIONS'!Q22*0.6)-0</f>
        <v>-0.20026407603204915</v>
      </c>
      <c r="F22" s="5">
        <f>AVERAGE('1_RAW_CORRELATIONS'!R22*1)-(MAX(0,'1_RAW_CORRELATIONS'!S22)*1.2+MAX(0,'1_RAW_CORRELATIONS'!T22)*1.5+MAX(0,'1_RAW_CORRELATIONS'!U22)*0.6+MAX(0,'1_RAW_CORRELATIONS'!V22)*0.5)</f>
        <v>-0.2507605468771601</v>
      </c>
      <c r="G22" s="5">
        <f>AVERAGE('1_RAW_CORRELATIONS'!W22*1.5,'1_RAW_CORRELATIONS'!X22*1.3,'1_RAW_CORRELATIONS'!Y22*1,'1_RAW_CORRELATIONS'!Z22*1,'1_RAW_CORRELATIONS'!AA22*1.1,'1_RAW_CORRELATIONS'!AB22*1,'1_RAW_CORRELATIONS'!AC22*0.9)-0</f>
        <v>-7.1372530958812427E-3</v>
      </c>
      <c r="H22" s="5">
        <f>AVERAGE('1_RAW_CORRELATIONS'!AD22*1,'1_RAW_CORRELATIONS'!AE22*1.2,'1_RAW_CORRELATIONS'!AF22*1.1,'1_RAW_CORRELATIONS'!AG22*1.2,'1_RAW_CORRELATIONS'!AH22*1,'1_RAW_CORRELATIONS'!AI22*1,'1_RAW_CORRELATIONS'!AJ22*1.1,'1_RAW_CORRELATIONS'!AK22*1.1,'1_RAW_CORRELATIONS'!AL22*0.9)-0</f>
        <v>-0.14415021038557865</v>
      </c>
      <c r="I22" s="5">
        <f>AVERAGE('1_RAW_CORRELATIONS'!AM22*1,'1_RAW_CORRELATIONS'!AN22*1.2,'1_RAW_CORRELATIONS'!AO22*1,'1_RAW_CORRELATIONS'!AP22*1.3,'1_RAW_CORRELATIONS'!AQ22*1.2,'1_RAW_CORRELATIONS'!AR22*1.3,'1_RAW_CORRELATIONS'!AS22*1.1,'1_RAW_CORRELATIONS'!AT22*0.7)-0</f>
        <v>-5.7058053472257106E-2</v>
      </c>
      <c r="J22" s="5">
        <f>AVERAGE('1_RAW_CORRELATIONS'!AU22*1.2,'1_RAW_CORRELATIONS'!AV22*1.2,'1_RAW_CORRELATIONS'!AW22*1.3,'1_RAW_CORRELATIONS'!AX22*1)-0</f>
        <v>-1.2304937089453962E-2</v>
      </c>
      <c r="K22" s="5">
        <f>AVERAGE('1_RAW_CORRELATIONS'!AY22*1.3,'1_RAW_CORRELATIONS'!AZ22*1.1,'1_RAW_CORRELATIONS'!BA22*1,'1_RAW_CORRELATIONS'!BB22*0.9,'1_RAW_CORRELATIONS'!BC22*1.2)-0</f>
        <v>7.6649026834156905E-2</v>
      </c>
      <c r="L22" s="5">
        <f t="shared" si="0"/>
        <v>0.4283432142779145</v>
      </c>
      <c r="M22" s="5">
        <f t="shared" si="1"/>
        <v>-1.804504210217929</v>
      </c>
      <c r="N22" s="5">
        <f t="shared" si="2"/>
        <v>-1.8072309669517947</v>
      </c>
      <c r="O22" s="5">
        <f t="shared" si="3"/>
        <v>-0.55575147775454148</v>
      </c>
      <c r="P22" s="5">
        <f t="shared" si="4"/>
        <v>-0.8663922801437276</v>
      </c>
      <c r="Q22" s="5">
        <f t="shared" si="5"/>
        <v>0.18213576776224702</v>
      </c>
      <c r="R22" s="5">
        <f t="shared" si="6"/>
        <v>-0.28048328556928442</v>
      </c>
      <c r="S22" s="5">
        <f t="shared" si="7"/>
        <v>1.7288204444698636</v>
      </c>
    </row>
    <row r="23" spans="1:19" x14ac:dyDescent="0.35">
      <c r="A23" s="3" t="str">
        <f>'1_RAW_CORRELATIONS'!A23</f>
        <v>F20</v>
      </c>
      <c r="B23" s="3">
        <f>'1_RAW_CORRELATIONS'!B23</f>
        <v>20</v>
      </c>
      <c r="C23" s="3" t="str">
        <f>IF('2_FRAME_MARKUP'!E23=1,"HOOK ","" )&amp;IF('2_FRAME_MARKUP'!F23=1,"BRAND ","" )&amp;IF('2_FRAME_MARKUP'!G23=1,"PRODUCT ","" )&amp;IF('2_FRAME_MARKUP'!H23=1,"OFFER ","" )&amp;IF('2_FRAME_MARKUP'!I23=1,"CTA ","" )&amp;IF('2_FRAME_MARKUP'!J23=1,"LOGO ","" )</f>
        <v/>
      </c>
      <c r="D23" s="5">
        <f>AVERAGE('1_RAW_CORRELATIONS'!E23*1,'1_RAW_CORRELATIONS'!F23*1.2,'1_RAW_CORRELATIONS'!G23*1,'1_RAW_CORRELATIONS'!H23*1.1,'1_RAW_CORRELATIONS'!I23*1,'1_RAW_CORRELATIONS'!J23*1.2,'1_RAW_CORRELATIONS'!K23*0.7)-(MAX(0,'1_RAW_CORRELATIONS'!L23)*1)</f>
        <v>1.0399157462041647E-2</v>
      </c>
      <c r="E23" s="5">
        <f>AVERAGE('1_RAW_CORRELATIONS'!M23*1.3,'1_RAW_CORRELATIONS'!N23*1,'1_RAW_CORRELATIONS'!O23*0.5,'1_RAW_CORRELATIONS'!P23*0.6,'1_RAW_CORRELATIONS'!Q23*0.6)-0</f>
        <v>-0.22890529627618869</v>
      </c>
      <c r="F23" s="5">
        <f>AVERAGE('1_RAW_CORRELATIONS'!R23*1)-(MAX(0,'1_RAW_CORRELATIONS'!S23)*1.2+MAX(0,'1_RAW_CORRELATIONS'!T23)*1.5+MAX(0,'1_RAW_CORRELATIONS'!U23)*0.6+MAX(0,'1_RAW_CORRELATIONS'!V23)*0.5)</f>
        <v>-0.30241502315787538</v>
      </c>
      <c r="G23" s="5">
        <f>AVERAGE('1_RAW_CORRELATIONS'!W23*1.5,'1_RAW_CORRELATIONS'!X23*1.3,'1_RAW_CORRELATIONS'!Y23*1,'1_RAW_CORRELATIONS'!Z23*1,'1_RAW_CORRELATIONS'!AA23*1.1,'1_RAW_CORRELATIONS'!AB23*1,'1_RAW_CORRELATIONS'!AC23*0.9)-0</f>
        <v>-5.6647145528120051E-2</v>
      </c>
      <c r="H23" s="5">
        <f>AVERAGE('1_RAW_CORRELATIONS'!AD23*1,'1_RAW_CORRELATIONS'!AE23*1.2,'1_RAW_CORRELATIONS'!AF23*1.1,'1_RAW_CORRELATIONS'!AG23*1.2,'1_RAW_CORRELATIONS'!AH23*1,'1_RAW_CORRELATIONS'!AI23*1,'1_RAW_CORRELATIONS'!AJ23*1.1,'1_RAW_CORRELATIONS'!AK23*1.1,'1_RAW_CORRELATIONS'!AL23*0.9)-0</f>
        <v>-0.19273681305126936</v>
      </c>
      <c r="I23" s="5">
        <f>AVERAGE('1_RAW_CORRELATIONS'!AM23*1,'1_RAW_CORRELATIONS'!AN23*1.2,'1_RAW_CORRELATIONS'!AO23*1,'1_RAW_CORRELATIONS'!AP23*1.3,'1_RAW_CORRELATIONS'!AQ23*1.2,'1_RAW_CORRELATIONS'!AR23*1.3,'1_RAW_CORRELATIONS'!AS23*1.1,'1_RAW_CORRELATIONS'!AT23*0.7)-0</f>
        <v>-7.5908018693451429E-2</v>
      </c>
      <c r="J23" s="5">
        <f>AVERAGE('1_RAW_CORRELATIONS'!AU23*1.2,'1_RAW_CORRELATIONS'!AV23*1.2,'1_RAW_CORRELATIONS'!AW23*1.3,'1_RAW_CORRELATIONS'!AX23*1)-0</f>
        <v>5.6174797046248469E-2</v>
      </c>
      <c r="K23" s="5">
        <f>AVERAGE('1_RAW_CORRELATIONS'!AY23*1.3,'1_RAW_CORRELATIONS'!AZ23*1.1,'1_RAW_CORRELATIONS'!BA23*1,'1_RAW_CORRELATIONS'!BB23*0.9,'1_RAW_CORRELATIONS'!BC23*1.2)-0</f>
        <v>0.11444003554077953</v>
      </c>
      <c r="L23" s="5">
        <f t="shared" si="0"/>
        <v>-0.8393877721784273</v>
      </c>
      <c r="M23" s="5">
        <f t="shared" si="1"/>
        <v>-3.1088130755230083</v>
      </c>
      <c r="N23" s="5">
        <f t="shared" si="2"/>
        <v>-3.3761037249227392</v>
      </c>
      <c r="O23" s="5">
        <f t="shared" si="3"/>
        <v>-2.1099110719632783</v>
      </c>
      <c r="P23" s="5">
        <f t="shared" si="4"/>
        <v>-2.020229676147133</v>
      </c>
      <c r="Q23" s="5">
        <f t="shared" si="5"/>
        <v>-9.9776161260522661E-2</v>
      </c>
      <c r="R23" s="5">
        <f t="shared" si="6"/>
        <v>0.63021911415417531</v>
      </c>
      <c r="S23" s="5">
        <f t="shared" si="7"/>
        <v>2.5894252148989017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>
      <pane xSplit="4" ySplit="3" topLeftCell="E6" activePane="bottomRight" state="frozen"/>
      <selection pane="topRight" activeCell="E1" sqref="E1"/>
      <selection pane="bottomLeft" activeCell="A4" sqref="A4"/>
      <selection pane="bottomRight" activeCell="J8" sqref="J8"/>
    </sheetView>
  </sheetViews>
  <sheetFormatPr defaultRowHeight="14.5" x14ac:dyDescent="0.35"/>
  <cols>
    <col min="1" max="1" width="10.7265625" customWidth="1"/>
    <col min="2" max="2" width="8.7265625" customWidth="1"/>
    <col min="3" max="3" width="34.7265625" customWidth="1"/>
    <col min="4" max="4" width="20.7265625" customWidth="1"/>
    <col min="5" max="10" width="11.7265625" customWidth="1"/>
  </cols>
  <sheetData>
    <row r="1" spans="1:10" ht="18.5" x14ac:dyDescent="0.45">
      <c r="A1" s="6" t="s">
        <v>171</v>
      </c>
    </row>
    <row r="2" spans="1:10" x14ac:dyDescent="0.35">
      <c r="A2" s="7" t="s">
        <v>172</v>
      </c>
    </row>
    <row r="3" spans="1:1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173</v>
      </c>
      <c r="F3" s="2" t="s">
        <v>174</v>
      </c>
      <c r="G3" s="2" t="s">
        <v>175</v>
      </c>
      <c r="H3" s="2" t="s">
        <v>176</v>
      </c>
      <c r="I3" s="2" t="s">
        <v>177</v>
      </c>
      <c r="J3" s="10" t="s">
        <v>261</v>
      </c>
    </row>
    <row r="4" spans="1:10" ht="56" customHeight="1" x14ac:dyDescent="0.35">
      <c r="A4" s="3" t="str">
        <f>'1_RAW_CORRELATIONS'!A4</f>
        <v>F01</v>
      </c>
      <c r="B4" s="3">
        <f>'1_RAW_CORRELATIONS'!B4</f>
        <v>1</v>
      </c>
      <c r="C4" s="4" t="str">
        <f>'1_RAW_CORRELATIONS'!C4</f>
        <v>Who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10" ht="56" customHeight="1" x14ac:dyDescent="0.35">
      <c r="A5" s="3" t="str">
        <f>'1_RAW_CORRELATIONS'!A5</f>
        <v>F02</v>
      </c>
      <c r="B5" s="3">
        <f>'1_RAW_CORRELATIONS'!B5</f>
        <v>2</v>
      </c>
      <c r="C5" s="4" t="str">
        <f>'1_RAW_CORRELATIONS'!C5</f>
        <v>Who could have thought,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</row>
    <row r="6" spans="1:10" ht="56" customHeight="1" x14ac:dyDescent="0.35">
      <c r="A6" s="3" t="str">
        <f>'1_RAW_CORRELATIONS'!A6</f>
        <v>F03</v>
      </c>
      <c r="B6" s="3">
        <f>'1_RAW_CORRELATIONS'!B6</f>
        <v>3</v>
      </c>
      <c r="C6" s="4" t="str">
        <f>'1_RAW_CORRELATIONS'!C6</f>
        <v>thought, that the future would be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</v>
      </c>
    </row>
    <row r="7" spans="1:10" ht="56" customHeight="1" x14ac:dyDescent="0.35">
      <c r="A7" s="3" t="str">
        <f>'1_RAW_CORRELATIONS'!A7</f>
        <v>F04</v>
      </c>
      <c r="B7" s="3">
        <f>'1_RAW_CORRELATIONS'!B7</f>
        <v>4</v>
      </c>
      <c r="C7" s="4" t="str">
        <f>'1_RAW_CORRELATIONS'!C7</f>
        <v>would be exactly like this?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</v>
      </c>
    </row>
    <row r="8" spans="1:10" ht="56" customHeight="1" x14ac:dyDescent="0.35">
      <c r="A8" s="3" t="str">
        <f>'1_RAW_CORRELATIONS'!A8</f>
        <v>F05</v>
      </c>
      <c r="B8" s="3">
        <f>'1_RAW_CORRELATIONS'!B8</f>
        <v>5</v>
      </c>
      <c r="C8" s="4" t="str">
        <f>'1_RAW_CORRELATIONS'!C8</f>
        <v>like this? Concise,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</row>
    <row r="9" spans="1:10" ht="56" customHeight="1" x14ac:dyDescent="0.35">
      <c r="A9" s="3" t="str">
        <f>'1_RAW_CORRELATIONS'!A9</f>
        <v>F06</v>
      </c>
      <c r="B9" s="3">
        <f>'1_RAW_CORRELATIONS'!B9</f>
        <v>6</v>
      </c>
      <c r="C9" s="4" t="str">
        <f>'1_RAW_CORRELATIONS'!C9</f>
        <v>Concise,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</row>
    <row r="10" spans="1:10" ht="56" customHeight="1" x14ac:dyDescent="0.35">
      <c r="A10" s="3" t="str">
        <f>'1_RAW_CORRELATIONS'!A10</f>
        <v>F07</v>
      </c>
      <c r="B10" s="3">
        <f>'1_RAW_CORRELATIONS'!B10</f>
        <v>7</v>
      </c>
      <c r="C10" s="4" t="str">
        <f>'1_RAW_CORRELATIONS'!C10</f>
        <v>perfect,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</row>
    <row r="11" spans="1:10" ht="56" customHeight="1" x14ac:dyDescent="0.35">
      <c r="A11" s="3" t="str">
        <f>'1_RAW_CORRELATIONS'!A11</f>
        <v>F08</v>
      </c>
      <c r="B11" s="3">
        <f>'1_RAW_CORRELATIONS'!B11</f>
        <v>8</v>
      </c>
      <c r="C11" s="4" t="str">
        <f>'1_RAW_CORRELATIONS'!C11</f>
        <v>perfect, that design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</row>
    <row r="12" spans="1:10" ht="56" customHeight="1" x14ac:dyDescent="0.35">
      <c r="A12" s="3" t="str">
        <f>'1_RAW_CORRELATIONS'!A12</f>
        <v>F09</v>
      </c>
      <c r="B12" s="3">
        <f>'1_RAW_CORRELATIONS'!B12</f>
        <v>9</v>
      </c>
      <c r="C12" s="4" t="str">
        <f>'1_RAW_CORRELATIONS'!C12</f>
        <v>design would define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0" ht="56" customHeight="1" x14ac:dyDescent="0.35">
      <c r="A13" s="3" t="str">
        <f>'1_RAW_CORRELATIONS'!A13</f>
        <v>F10</v>
      </c>
      <c r="B13" s="3">
        <f>'1_RAW_CORRELATIONS'!B13</f>
        <v>10</v>
      </c>
      <c r="C13" s="4" t="str">
        <f>'1_RAW_CORRELATIONS'!C13</f>
        <v>define functionality,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</row>
    <row r="14" spans="1:10" ht="56" customHeight="1" x14ac:dyDescent="0.35">
      <c r="A14" s="3" t="str">
        <f>'1_RAW_CORRELATIONS'!A14</f>
        <v>F11</v>
      </c>
      <c r="B14" s="3">
        <f>'1_RAW_CORRELATIONS'!B14</f>
        <v>11</v>
      </c>
      <c r="C14" s="4" t="str">
        <f>'1_RAW_CORRELATIONS'!C14</f>
        <v>functionality, and technology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</row>
    <row r="15" spans="1:10" ht="56" customHeight="1" x14ac:dyDescent="0.35">
      <c r="A15" s="3" t="str">
        <f>'1_RAW_CORRELATIONS'!A15</f>
        <v>F12</v>
      </c>
      <c r="B15" s="3">
        <f>'1_RAW_CORRELATIONS'!B15</f>
        <v>12</v>
      </c>
      <c r="C15" s="4" t="str">
        <f>'1_RAW_CORRELATIONS'!C15</f>
        <v>technology would become an element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10" ht="56" customHeight="1" x14ac:dyDescent="0.35">
      <c r="A16" s="3" t="str">
        <f>'1_RAW_CORRELATIONS'!A16</f>
        <v>F13</v>
      </c>
      <c r="B16" s="3">
        <f>'1_RAW_CORRELATIONS'!B16</f>
        <v>13</v>
      </c>
      <c r="C16" s="4" t="str">
        <f>'1_RAW_CORRELATIONS'!C16</f>
        <v>an element of style.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ht="56" customHeight="1" x14ac:dyDescent="0.35">
      <c r="A17" s="3" t="str">
        <f>'1_RAW_CORRELATIONS'!A17</f>
        <v>F14</v>
      </c>
      <c r="B17" s="3">
        <f>'1_RAW_CORRELATIONS'!B17</f>
        <v>14</v>
      </c>
      <c r="C17" s="4" t="str">
        <f>'1_RAW_CORRELATIONS'!C17</f>
        <v>of style. Only those,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56" customHeight="1" x14ac:dyDescent="0.35">
      <c r="A18" s="3" t="str">
        <f>'1_RAW_CORRELATIONS'!A18</f>
        <v>F15</v>
      </c>
      <c r="B18" s="3">
        <f>'1_RAW_CORRELATIONS'!B18</f>
        <v>15</v>
      </c>
      <c r="C18" s="4" t="str">
        <f>'1_RAW_CORRELATIONS'!C18</f>
        <v>those, who create it.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56" customHeight="1" x14ac:dyDescent="0.35">
      <c r="A19" s="3" t="str">
        <f>'1_RAW_CORRELATIONS'!A19</f>
        <v>F16</v>
      </c>
      <c r="B19" s="3">
        <f>'1_RAW_CORRELATIONS'!B19</f>
        <v>16</v>
      </c>
      <c r="C19" s="4" t="str">
        <f>'1_RAW_CORRELATIONS'!C19</f>
        <v>it. Omoda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56" customHeight="1" x14ac:dyDescent="0.35">
      <c r="A20" s="3" t="str">
        <f>'1_RAW_CORRELATIONS'!A20</f>
        <v>F17</v>
      </c>
      <c r="B20" s="3">
        <f>'1_RAW_CORRELATIONS'!B20</f>
        <v>17</v>
      </c>
      <c r="C20" s="4" t="str">
        <f>'1_RAW_CORRELATIONS'!C20</f>
        <v>Omoda C7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ht="56" customHeight="1" x14ac:dyDescent="0.35">
      <c r="A21" s="3" t="str">
        <f>'1_RAW_CORRELATIONS'!A21</f>
        <v>F18</v>
      </c>
      <c r="B21" s="3">
        <f>'1_RAW_CORRELATIONS'!B21</f>
        <v>18</v>
      </c>
      <c r="C21" s="4" t="str">
        <f>'1_RAW_CORRELATIONS'!C21</f>
        <v>C7 from the creators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</row>
    <row r="22" spans="1:10" ht="56" customHeight="1" x14ac:dyDescent="0.35">
      <c r="A22" s="3" t="str">
        <f>'1_RAW_CORRELATIONS'!A22</f>
        <v>F19</v>
      </c>
      <c r="B22" s="3">
        <f>'1_RAW_CORRELATIONS'!B22</f>
        <v>19</v>
      </c>
      <c r="C22" s="4" t="str">
        <f>'1_RAW_CORRELATIONS'!C22</f>
        <v>the creators of the future.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</row>
    <row r="23" spans="1:10" ht="56" customHeight="1" x14ac:dyDescent="0.35">
      <c r="A23" s="3" t="str">
        <f>'1_RAW_CORRELATIONS'!A23</f>
        <v>F20</v>
      </c>
      <c r="B23" s="3">
        <f>'1_RAW_CORRELATIONS'!B23</f>
        <v>20</v>
      </c>
      <c r="C23" s="4" t="str">
        <f>'1_RAW_CORRELATIONS'!C23</f>
        <v>of the future.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4"/>
  <sheetViews>
    <sheetView topLeftCell="A62" workbookViewId="0">
      <selection activeCell="B41" sqref="B41"/>
    </sheetView>
  </sheetViews>
  <sheetFormatPr defaultRowHeight="14.5" x14ac:dyDescent="0.35"/>
  <cols>
    <col min="1" max="1" width="12.7265625" customWidth="1"/>
    <col min="2" max="2" width="22.7265625" customWidth="1"/>
    <col min="3" max="3" width="10.7265625" customWidth="1"/>
    <col min="4" max="5" width="24.7265625" customWidth="1"/>
    <col min="6" max="7" width="34.7265625" customWidth="1"/>
  </cols>
  <sheetData>
    <row r="1" spans="1:7" ht="18.5" x14ac:dyDescent="0.45">
      <c r="A1" s="6" t="s">
        <v>178</v>
      </c>
    </row>
    <row r="2" spans="1:7" x14ac:dyDescent="0.35">
      <c r="A2" s="3" t="s">
        <v>179</v>
      </c>
    </row>
    <row r="3" spans="1:7" x14ac:dyDescent="0.35">
      <c r="A3" s="2" t="s">
        <v>180</v>
      </c>
      <c r="B3" s="2" t="s">
        <v>181</v>
      </c>
      <c r="C3" s="2" t="s">
        <v>182</v>
      </c>
      <c r="D3" s="2" t="s">
        <v>183</v>
      </c>
      <c r="E3" s="2" t="s">
        <v>184</v>
      </c>
      <c r="F3" s="2" t="s">
        <v>185</v>
      </c>
      <c r="G3" s="2" t="s">
        <v>186</v>
      </c>
    </row>
    <row r="4" spans="1:7" x14ac:dyDescent="0.35">
      <c r="A4" s="3" t="s">
        <v>4</v>
      </c>
      <c r="B4" s="3" t="s">
        <v>12</v>
      </c>
      <c r="C4" s="9">
        <v>1</v>
      </c>
      <c r="D4" s="3" t="s">
        <v>187</v>
      </c>
      <c r="E4" s="3" t="s">
        <v>132</v>
      </c>
      <c r="G4" s="3" t="s">
        <v>12</v>
      </c>
    </row>
    <row r="5" spans="1:7" x14ac:dyDescent="0.35">
      <c r="A5" s="3" t="s">
        <v>4</v>
      </c>
      <c r="B5" s="3" t="s">
        <v>13</v>
      </c>
      <c r="C5" s="9">
        <v>1.2</v>
      </c>
      <c r="D5" s="3" t="s">
        <v>188</v>
      </c>
      <c r="E5" s="3" t="s">
        <v>132</v>
      </c>
      <c r="G5" s="3" t="s">
        <v>189</v>
      </c>
    </row>
    <row r="6" spans="1:7" x14ac:dyDescent="0.35">
      <c r="A6" s="3" t="s">
        <v>4</v>
      </c>
      <c r="B6" s="3" t="s">
        <v>14</v>
      </c>
      <c r="C6" s="9">
        <v>1</v>
      </c>
      <c r="D6" s="3" t="s">
        <v>188</v>
      </c>
      <c r="E6" s="3" t="s">
        <v>132</v>
      </c>
      <c r="G6" s="3" t="s">
        <v>14</v>
      </c>
    </row>
    <row r="7" spans="1:7" x14ac:dyDescent="0.35">
      <c r="A7" s="3" t="s">
        <v>4</v>
      </c>
      <c r="B7" s="3" t="s">
        <v>15</v>
      </c>
      <c r="C7" s="9">
        <v>1.1000000000000001</v>
      </c>
      <c r="D7" s="3" t="s">
        <v>188</v>
      </c>
      <c r="E7" s="3" t="s">
        <v>132</v>
      </c>
      <c r="G7" s="3" t="s">
        <v>15</v>
      </c>
    </row>
    <row r="8" spans="1:7" x14ac:dyDescent="0.35">
      <c r="A8" s="3" t="s">
        <v>4</v>
      </c>
      <c r="B8" s="3" t="s">
        <v>16</v>
      </c>
      <c r="C8" s="9">
        <v>1</v>
      </c>
      <c r="D8" s="3" t="s">
        <v>188</v>
      </c>
      <c r="E8" s="3" t="s">
        <v>132</v>
      </c>
      <c r="G8" s="3" t="s">
        <v>190</v>
      </c>
    </row>
    <row r="9" spans="1:7" x14ac:dyDescent="0.35">
      <c r="A9" s="3" t="s">
        <v>4</v>
      </c>
      <c r="B9" s="3" t="s">
        <v>17</v>
      </c>
      <c r="C9" s="9">
        <v>1.2</v>
      </c>
      <c r="D9" s="3" t="s">
        <v>188</v>
      </c>
      <c r="E9" s="3" t="s">
        <v>132</v>
      </c>
      <c r="G9" s="3" t="s">
        <v>17</v>
      </c>
    </row>
    <row r="10" spans="1:7" x14ac:dyDescent="0.35">
      <c r="A10" s="3" t="s">
        <v>4</v>
      </c>
      <c r="B10" s="3" t="s">
        <v>18</v>
      </c>
      <c r="C10" s="9">
        <v>0.7</v>
      </c>
      <c r="D10" s="3" t="s">
        <v>191</v>
      </c>
      <c r="E10" s="3" t="s">
        <v>132</v>
      </c>
      <c r="G10" s="3" t="s">
        <v>192</v>
      </c>
    </row>
    <row r="11" spans="1:7" x14ac:dyDescent="0.35">
      <c r="A11" s="3" t="s">
        <v>4</v>
      </c>
      <c r="B11" s="3" t="s">
        <v>19</v>
      </c>
      <c r="C11" s="9">
        <v>-1</v>
      </c>
      <c r="D11" s="3" t="s">
        <v>193</v>
      </c>
      <c r="E11" s="3" t="s">
        <v>132</v>
      </c>
      <c r="F11" s="3" t="s">
        <v>194</v>
      </c>
      <c r="G11" s="3" t="s">
        <v>19</v>
      </c>
    </row>
    <row r="12" spans="1:7" x14ac:dyDescent="0.35">
      <c r="A12" s="3" t="s">
        <v>5</v>
      </c>
      <c r="B12" s="3" t="s">
        <v>20</v>
      </c>
      <c r="C12" s="9">
        <v>1.3</v>
      </c>
      <c r="D12" s="3" t="s">
        <v>188</v>
      </c>
      <c r="E12" s="3" t="s">
        <v>135</v>
      </c>
      <c r="G12" s="3" t="s">
        <v>20</v>
      </c>
    </row>
    <row r="13" spans="1:7" x14ac:dyDescent="0.35">
      <c r="A13" s="3" t="s">
        <v>5</v>
      </c>
      <c r="B13" s="3" t="s">
        <v>21</v>
      </c>
      <c r="C13" s="9">
        <v>1</v>
      </c>
      <c r="D13" s="3" t="s">
        <v>188</v>
      </c>
      <c r="E13" s="3" t="s">
        <v>135</v>
      </c>
      <c r="G13" s="3" t="s">
        <v>21</v>
      </c>
    </row>
    <row r="14" spans="1:7" x14ac:dyDescent="0.35">
      <c r="A14" s="3" t="s">
        <v>5</v>
      </c>
      <c r="B14" s="3" t="s">
        <v>22</v>
      </c>
      <c r="C14" s="9">
        <v>0.5</v>
      </c>
      <c r="D14" s="3" t="s">
        <v>187</v>
      </c>
      <c r="E14" s="3" t="s">
        <v>135</v>
      </c>
      <c r="G14" s="3" t="s">
        <v>22</v>
      </c>
    </row>
    <row r="15" spans="1:7" x14ac:dyDescent="0.35">
      <c r="A15" s="3" t="s">
        <v>5</v>
      </c>
      <c r="B15" s="3" t="s">
        <v>23</v>
      </c>
      <c r="C15" s="9">
        <v>0.6</v>
      </c>
      <c r="D15" s="3" t="s">
        <v>188</v>
      </c>
      <c r="E15" s="3" t="s">
        <v>135</v>
      </c>
      <c r="F15" s="3" t="s">
        <v>195</v>
      </c>
      <c r="G15" s="3" t="s">
        <v>196</v>
      </c>
    </row>
    <row r="16" spans="1:7" x14ac:dyDescent="0.35">
      <c r="A16" s="3" t="s">
        <v>5</v>
      </c>
      <c r="B16" s="3" t="s">
        <v>24</v>
      </c>
      <c r="C16" s="9">
        <v>0.6</v>
      </c>
      <c r="D16" s="3" t="s">
        <v>188</v>
      </c>
      <c r="E16" s="3" t="s">
        <v>135</v>
      </c>
      <c r="F16" s="3" t="s">
        <v>195</v>
      </c>
      <c r="G16" s="3" t="s">
        <v>197</v>
      </c>
    </row>
    <row r="17" spans="1:7" x14ac:dyDescent="0.35">
      <c r="A17" s="3" t="s">
        <v>6</v>
      </c>
      <c r="B17" s="3" t="s">
        <v>25</v>
      </c>
      <c r="C17" s="9">
        <v>1</v>
      </c>
      <c r="D17" s="3" t="s">
        <v>187</v>
      </c>
      <c r="E17" s="3" t="s">
        <v>138</v>
      </c>
      <c r="G17" s="3" t="s">
        <v>25</v>
      </c>
    </row>
    <row r="18" spans="1:7" x14ac:dyDescent="0.35">
      <c r="A18" s="3" t="s">
        <v>6</v>
      </c>
      <c r="B18" s="3" t="s">
        <v>26</v>
      </c>
      <c r="C18" s="9">
        <v>1.2</v>
      </c>
      <c r="D18" s="3" t="s">
        <v>193</v>
      </c>
      <c r="E18" s="3" t="s">
        <v>138</v>
      </c>
      <c r="F18" s="3" t="s">
        <v>194</v>
      </c>
      <c r="G18" s="3" t="s">
        <v>198</v>
      </c>
    </row>
    <row r="19" spans="1:7" x14ac:dyDescent="0.35">
      <c r="A19" s="3" t="s">
        <v>6</v>
      </c>
      <c r="B19" s="3" t="s">
        <v>27</v>
      </c>
      <c r="C19" s="9">
        <v>1.5</v>
      </c>
      <c r="D19" s="3" t="s">
        <v>193</v>
      </c>
      <c r="E19" s="3" t="s">
        <v>138</v>
      </c>
      <c r="F19" s="3" t="s">
        <v>194</v>
      </c>
      <c r="G19" s="3" t="s">
        <v>27</v>
      </c>
    </row>
    <row r="20" spans="1:7" x14ac:dyDescent="0.35">
      <c r="A20" s="3" t="s">
        <v>6</v>
      </c>
      <c r="B20" s="3" t="s">
        <v>28</v>
      </c>
      <c r="C20" s="9">
        <v>0.6</v>
      </c>
      <c r="D20" s="3" t="s">
        <v>193</v>
      </c>
      <c r="E20" s="3" t="s">
        <v>138</v>
      </c>
      <c r="F20" s="3" t="s">
        <v>194</v>
      </c>
      <c r="G20" s="3" t="s">
        <v>28</v>
      </c>
    </row>
    <row r="21" spans="1:7" x14ac:dyDescent="0.35">
      <c r="A21" s="3" t="s">
        <v>6</v>
      </c>
      <c r="B21" s="3" t="s">
        <v>29</v>
      </c>
      <c r="C21" s="9">
        <v>0.5</v>
      </c>
      <c r="D21" s="3" t="s">
        <v>193</v>
      </c>
      <c r="E21" s="3" t="s">
        <v>138</v>
      </c>
      <c r="F21" s="3" t="s">
        <v>194</v>
      </c>
      <c r="G21" s="3" t="s">
        <v>29</v>
      </c>
    </row>
    <row r="22" spans="1:7" x14ac:dyDescent="0.35">
      <c r="A22" s="3" t="s">
        <v>7</v>
      </c>
      <c r="B22" s="3" t="s">
        <v>30</v>
      </c>
      <c r="C22" s="9">
        <v>1.5</v>
      </c>
      <c r="D22" s="3" t="s">
        <v>188</v>
      </c>
      <c r="E22" s="3" t="s">
        <v>140</v>
      </c>
      <c r="G22" s="3" t="s">
        <v>30</v>
      </c>
    </row>
    <row r="23" spans="1:7" x14ac:dyDescent="0.35">
      <c r="A23" s="3" t="s">
        <v>7</v>
      </c>
      <c r="B23" s="3" t="s">
        <v>31</v>
      </c>
      <c r="C23" s="9">
        <v>1.3</v>
      </c>
      <c r="D23" s="3" t="s">
        <v>188</v>
      </c>
      <c r="E23" s="3" t="s">
        <v>140</v>
      </c>
      <c r="G23" s="3" t="s">
        <v>199</v>
      </c>
    </row>
    <row r="24" spans="1:7" x14ac:dyDescent="0.35">
      <c r="A24" s="3" t="s">
        <v>7</v>
      </c>
      <c r="B24" s="3" t="s">
        <v>32</v>
      </c>
      <c r="C24" s="9">
        <v>1</v>
      </c>
      <c r="D24" s="3" t="s">
        <v>188</v>
      </c>
      <c r="E24" s="3" t="s">
        <v>140</v>
      </c>
      <c r="G24" s="3" t="s">
        <v>200</v>
      </c>
    </row>
    <row r="25" spans="1:7" x14ac:dyDescent="0.35">
      <c r="A25" s="3" t="s">
        <v>7</v>
      </c>
      <c r="B25" s="3" t="s">
        <v>33</v>
      </c>
      <c r="C25" s="9">
        <v>1</v>
      </c>
      <c r="D25" s="3" t="s">
        <v>188</v>
      </c>
      <c r="E25" s="3" t="s">
        <v>140</v>
      </c>
      <c r="G25" s="3" t="s">
        <v>201</v>
      </c>
    </row>
    <row r="26" spans="1:7" x14ac:dyDescent="0.35">
      <c r="A26" s="3" t="s">
        <v>7</v>
      </c>
      <c r="B26" s="3" t="s">
        <v>34</v>
      </c>
      <c r="C26" s="9">
        <v>1.1000000000000001</v>
      </c>
      <c r="D26" s="3" t="s">
        <v>188</v>
      </c>
      <c r="E26" s="3" t="s">
        <v>140</v>
      </c>
      <c r="G26" s="3" t="s">
        <v>34</v>
      </c>
    </row>
    <row r="27" spans="1:7" x14ac:dyDescent="0.35">
      <c r="A27" s="3" t="s">
        <v>7</v>
      </c>
      <c r="B27" s="3" t="s">
        <v>35</v>
      </c>
      <c r="C27" s="9">
        <v>1</v>
      </c>
      <c r="D27" s="3" t="s">
        <v>188</v>
      </c>
      <c r="E27" s="3" t="s">
        <v>140</v>
      </c>
      <c r="G27" s="3" t="s">
        <v>35</v>
      </c>
    </row>
    <row r="28" spans="1:7" x14ac:dyDescent="0.35">
      <c r="A28" s="3" t="s">
        <v>7</v>
      </c>
      <c r="B28" s="3" t="s">
        <v>36</v>
      </c>
      <c r="C28" s="9">
        <v>0.9</v>
      </c>
      <c r="D28" s="3" t="s">
        <v>191</v>
      </c>
      <c r="E28" s="3" t="s">
        <v>140</v>
      </c>
      <c r="G28" s="3" t="s">
        <v>36</v>
      </c>
    </row>
    <row r="29" spans="1:7" x14ac:dyDescent="0.35">
      <c r="A29" s="3" t="s">
        <v>8</v>
      </c>
      <c r="B29" s="3" t="s">
        <v>37</v>
      </c>
      <c r="C29" s="9">
        <v>1</v>
      </c>
      <c r="D29" s="3" t="s">
        <v>187</v>
      </c>
      <c r="E29" s="3" t="s">
        <v>142</v>
      </c>
      <c r="G29" s="3" t="s">
        <v>37</v>
      </c>
    </row>
    <row r="30" spans="1:7" x14ac:dyDescent="0.35">
      <c r="A30" s="3" t="s">
        <v>8</v>
      </c>
      <c r="B30" s="3" t="s">
        <v>38</v>
      </c>
      <c r="C30" s="9">
        <v>1.2</v>
      </c>
      <c r="D30" s="3" t="s">
        <v>188</v>
      </c>
      <c r="E30" s="3" t="s">
        <v>142</v>
      </c>
      <c r="G30" s="3" t="s">
        <v>202</v>
      </c>
    </row>
    <row r="31" spans="1:7" x14ac:dyDescent="0.35">
      <c r="A31" s="3" t="s">
        <v>8</v>
      </c>
      <c r="B31" s="3" t="s">
        <v>39</v>
      </c>
      <c r="C31" s="9">
        <v>1.1000000000000001</v>
      </c>
      <c r="D31" s="3" t="s">
        <v>188</v>
      </c>
      <c r="E31" s="3" t="s">
        <v>142</v>
      </c>
      <c r="G31" s="3" t="s">
        <v>39</v>
      </c>
    </row>
    <row r="32" spans="1:7" x14ac:dyDescent="0.35">
      <c r="A32" s="3" t="s">
        <v>8</v>
      </c>
      <c r="B32" s="3" t="s">
        <v>40</v>
      </c>
      <c r="C32" s="9">
        <v>1.2</v>
      </c>
      <c r="D32" s="3" t="s">
        <v>188</v>
      </c>
      <c r="E32" s="3" t="s">
        <v>142</v>
      </c>
      <c r="G32" s="3" t="s">
        <v>40</v>
      </c>
    </row>
    <row r="33" spans="1:7" x14ac:dyDescent="0.35">
      <c r="A33" s="3" t="s">
        <v>8</v>
      </c>
      <c r="B33" s="3" t="s">
        <v>41</v>
      </c>
      <c r="C33" s="9">
        <v>1</v>
      </c>
      <c r="D33" s="3" t="s">
        <v>188</v>
      </c>
      <c r="E33" s="3" t="s">
        <v>142</v>
      </c>
      <c r="G33" s="3" t="s">
        <v>41</v>
      </c>
    </row>
    <row r="34" spans="1:7" x14ac:dyDescent="0.35">
      <c r="A34" s="3" t="s">
        <v>8</v>
      </c>
      <c r="B34" s="3" t="s">
        <v>42</v>
      </c>
      <c r="C34" s="9">
        <v>1</v>
      </c>
      <c r="D34" s="3" t="s">
        <v>188</v>
      </c>
      <c r="E34" s="3" t="s">
        <v>142</v>
      </c>
      <c r="G34" s="3" t="s">
        <v>42</v>
      </c>
    </row>
    <row r="35" spans="1:7" x14ac:dyDescent="0.35">
      <c r="A35" s="3" t="s">
        <v>8</v>
      </c>
      <c r="B35" s="3" t="s">
        <v>43</v>
      </c>
      <c r="C35" s="9">
        <v>1.1000000000000001</v>
      </c>
      <c r="D35" s="3" t="s">
        <v>188</v>
      </c>
      <c r="E35" s="3" t="s">
        <v>142</v>
      </c>
      <c r="G35" s="3" t="s">
        <v>43</v>
      </c>
    </row>
    <row r="36" spans="1:7" x14ac:dyDescent="0.35">
      <c r="A36" s="3" t="s">
        <v>8</v>
      </c>
      <c r="B36" s="3" t="s">
        <v>44</v>
      </c>
      <c r="C36" s="9">
        <v>1.1000000000000001</v>
      </c>
      <c r="D36" s="3" t="s">
        <v>203</v>
      </c>
      <c r="E36" s="3" t="s">
        <v>142</v>
      </c>
      <c r="G36" s="3" t="s">
        <v>204</v>
      </c>
    </row>
    <row r="37" spans="1:7" x14ac:dyDescent="0.35">
      <c r="A37" s="3" t="s">
        <v>8</v>
      </c>
      <c r="B37" s="3" t="s">
        <v>45</v>
      </c>
      <c r="C37" s="9">
        <v>0.9</v>
      </c>
      <c r="D37" s="3" t="s">
        <v>203</v>
      </c>
      <c r="E37" s="3" t="s">
        <v>142</v>
      </c>
      <c r="G37" s="3" t="s">
        <v>45</v>
      </c>
    </row>
    <row r="38" spans="1:7" x14ac:dyDescent="0.35">
      <c r="A38" s="3" t="s">
        <v>9</v>
      </c>
      <c r="B38" s="3" t="s">
        <v>46</v>
      </c>
      <c r="C38" s="9">
        <v>1</v>
      </c>
      <c r="D38" s="3" t="s">
        <v>187</v>
      </c>
      <c r="E38" s="3" t="s">
        <v>144</v>
      </c>
      <c r="G38" s="3" t="s">
        <v>205</v>
      </c>
    </row>
    <row r="39" spans="1:7" x14ac:dyDescent="0.35">
      <c r="A39" s="3" t="s">
        <v>9</v>
      </c>
      <c r="B39" s="3" t="s">
        <v>47</v>
      </c>
      <c r="C39" s="9">
        <v>1.2</v>
      </c>
      <c r="D39" s="3" t="s">
        <v>188</v>
      </c>
      <c r="E39" s="3" t="s">
        <v>144</v>
      </c>
      <c r="G39" s="3" t="s">
        <v>47</v>
      </c>
    </row>
    <row r="40" spans="1:7" x14ac:dyDescent="0.35">
      <c r="A40" s="3" t="s">
        <v>9</v>
      </c>
      <c r="B40" s="3" t="s">
        <v>48</v>
      </c>
      <c r="C40" s="9">
        <v>1</v>
      </c>
      <c r="D40" s="3" t="s">
        <v>188</v>
      </c>
      <c r="E40" s="3" t="s">
        <v>144</v>
      </c>
      <c r="F40" s="3" t="s">
        <v>206</v>
      </c>
      <c r="G40" s="3" t="s">
        <v>207</v>
      </c>
    </row>
    <row r="41" spans="1:7" x14ac:dyDescent="0.35">
      <c r="A41" s="3" t="s">
        <v>9</v>
      </c>
      <c r="B41" s="3" t="s">
        <v>49</v>
      </c>
      <c r="C41" s="9">
        <v>1.3</v>
      </c>
      <c r="D41" s="3" t="s">
        <v>188</v>
      </c>
      <c r="E41" s="3" t="s">
        <v>144</v>
      </c>
      <c r="G41" s="3" t="s">
        <v>49</v>
      </c>
    </row>
    <row r="42" spans="1:7" x14ac:dyDescent="0.35">
      <c r="A42" s="3" t="s">
        <v>9</v>
      </c>
      <c r="B42" s="3" t="s">
        <v>50</v>
      </c>
      <c r="C42" s="9">
        <v>1.2</v>
      </c>
      <c r="D42" s="3" t="s">
        <v>188</v>
      </c>
      <c r="E42" s="3" t="s">
        <v>144</v>
      </c>
      <c r="G42" s="3" t="s">
        <v>50</v>
      </c>
    </row>
    <row r="43" spans="1:7" x14ac:dyDescent="0.35">
      <c r="A43" s="3" t="s">
        <v>9</v>
      </c>
      <c r="B43" s="3" t="s">
        <v>51</v>
      </c>
      <c r="C43" s="9">
        <v>1.3</v>
      </c>
      <c r="D43" s="3" t="s">
        <v>188</v>
      </c>
      <c r="E43" s="3" t="s">
        <v>144</v>
      </c>
      <c r="G43" s="3" t="s">
        <v>208</v>
      </c>
    </row>
    <row r="44" spans="1:7" x14ac:dyDescent="0.35">
      <c r="A44" s="3" t="s">
        <v>9</v>
      </c>
      <c r="B44" s="3" t="s">
        <v>52</v>
      </c>
      <c r="C44" s="9">
        <v>1.1000000000000001</v>
      </c>
      <c r="D44" s="3" t="s">
        <v>188</v>
      </c>
      <c r="E44" s="3" t="s">
        <v>144</v>
      </c>
      <c r="G44" s="3" t="s">
        <v>52</v>
      </c>
    </row>
    <row r="45" spans="1:7" x14ac:dyDescent="0.35">
      <c r="A45" s="3" t="s">
        <v>9</v>
      </c>
      <c r="B45" s="3" t="s">
        <v>53</v>
      </c>
      <c r="C45" s="9">
        <v>0.7</v>
      </c>
      <c r="D45" s="3" t="s">
        <v>187</v>
      </c>
      <c r="E45" s="3" t="s">
        <v>144</v>
      </c>
      <c r="G45" s="3" t="s">
        <v>53</v>
      </c>
    </row>
    <row r="46" spans="1:7" x14ac:dyDescent="0.35">
      <c r="A46" s="3" t="s">
        <v>10</v>
      </c>
      <c r="B46" s="3" t="s">
        <v>54</v>
      </c>
      <c r="C46" s="9">
        <v>1.2</v>
      </c>
      <c r="D46" s="3" t="s">
        <v>209</v>
      </c>
      <c r="E46" s="3" t="s">
        <v>147</v>
      </c>
      <c r="F46" s="3" t="s">
        <v>210</v>
      </c>
      <c r="G46" s="3" t="s">
        <v>54</v>
      </c>
    </row>
    <row r="47" spans="1:7" x14ac:dyDescent="0.35">
      <c r="A47" s="3" t="s">
        <v>10</v>
      </c>
      <c r="B47" s="3" t="s">
        <v>55</v>
      </c>
      <c r="C47" s="9">
        <v>1.2</v>
      </c>
      <c r="D47" s="3" t="s">
        <v>209</v>
      </c>
      <c r="E47" s="3" t="s">
        <v>147</v>
      </c>
      <c r="F47" s="3" t="s">
        <v>210</v>
      </c>
      <c r="G47" s="3" t="s">
        <v>55</v>
      </c>
    </row>
    <row r="48" spans="1:7" x14ac:dyDescent="0.35">
      <c r="A48" s="3" t="s">
        <v>10</v>
      </c>
      <c r="B48" s="3" t="s">
        <v>56</v>
      </c>
      <c r="C48" s="9">
        <v>1.3</v>
      </c>
      <c r="D48" s="3" t="s">
        <v>209</v>
      </c>
      <c r="E48" s="3" t="s">
        <v>147</v>
      </c>
      <c r="F48" s="3" t="s">
        <v>210</v>
      </c>
      <c r="G48" s="3" t="s">
        <v>211</v>
      </c>
    </row>
    <row r="49" spans="1:7" x14ac:dyDescent="0.35">
      <c r="A49" s="3" t="s">
        <v>10</v>
      </c>
      <c r="B49" s="3" t="s">
        <v>57</v>
      </c>
      <c r="C49" s="9">
        <v>1</v>
      </c>
      <c r="D49" s="3" t="s">
        <v>209</v>
      </c>
      <c r="E49" s="3" t="s">
        <v>147</v>
      </c>
      <c r="F49" s="3" t="s">
        <v>210</v>
      </c>
      <c r="G49" s="3" t="s">
        <v>57</v>
      </c>
    </row>
    <row r="50" spans="1:7" x14ac:dyDescent="0.35">
      <c r="A50" s="3" t="s">
        <v>11</v>
      </c>
      <c r="B50" s="3" t="s">
        <v>58</v>
      </c>
      <c r="C50" s="9">
        <v>1.3</v>
      </c>
      <c r="D50" s="3" t="s">
        <v>212</v>
      </c>
      <c r="E50" s="3" t="s">
        <v>150</v>
      </c>
      <c r="F50" s="3" t="s">
        <v>213</v>
      </c>
      <c r="G50" s="3" t="s">
        <v>214</v>
      </c>
    </row>
    <row r="51" spans="1:7" x14ac:dyDescent="0.35">
      <c r="A51" s="3" t="s">
        <v>11</v>
      </c>
      <c r="B51" s="3" t="s">
        <v>59</v>
      </c>
      <c r="C51" s="9">
        <v>1.1000000000000001</v>
      </c>
      <c r="D51" s="3" t="s">
        <v>212</v>
      </c>
      <c r="E51" s="3" t="s">
        <v>150</v>
      </c>
      <c r="F51" s="3" t="s">
        <v>213</v>
      </c>
      <c r="G51" s="3" t="s">
        <v>215</v>
      </c>
    </row>
    <row r="52" spans="1:7" x14ac:dyDescent="0.35">
      <c r="A52" s="3" t="s">
        <v>11</v>
      </c>
      <c r="B52" s="3" t="s">
        <v>60</v>
      </c>
      <c r="C52" s="9">
        <v>1</v>
      </c>
      <c r="D52" s="3" t="s">
        <v>212</v>
      </c>
      <c r="E52" s="3" t="s">
        <v>150</v>
      </c>
      <c r="F52" s="3" t="s">
        <v>213</v>
      </c>
      <c r="G52" s="3" t="s">
        <v>216</v>
      </c>
    </row>
    <row r="53" spans="1:7" x14ac:dyDescent="0.35">
      <c r="A53" s="3" t="s">
        <v>11</v>
      </c>
      <c r="B53" s="3" t="s">
        <v>61</v>
      </c>
      <c r="C53" s="9">
        <v>0.9</v>
      </c>
      <c r="D53" s="3" t="s">
        <v>212</v>
      </c>
      <c r="E53" s="3" t="s">
        <v>150</v>
      </c>
      <c r="F53" s="3" t="s">
        <v>213</v>
      </c>
      <c r="G53" s="3" t="s">
        <v>61</v>
      </c>
    </row>
    <row r="54" spans="1:7" x14ac:dyDescent="0.35">
      <c r="A54" s="3" t="s">
        <v>11</v>
      </c>
      <c r="B54" s="3" t="s">
        <v>62</v>
      </c>
      <c r="C54" s="9">
        <v>1.2</v>
      </c>
      <c r="D54" s="3" t="s">
        <v>212</v>
      </c>
      <c r="E54" s="3" t="s">
        <v>150</v>
      </c>
      <c r="F54" s="3" t="s">
        <v>213</v>
      </c>
      <c r="G54" s="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topLeftCell="A3" workbookViewId="0">
      <selection activeCell="B13" sqref="B13"/>
    </sheetView>
  </sheetViews>
  <sheetFormatPr defaultRowHeight="14.5" x14ac:dyDescent="0.35"/>
  <cols>
    <col min="1" max="1" width="18.7265625" customWidth="1"/>
    <col min="2" max="2" width="36.7265625" customWidth="1"/>
    <col min="3" max="11" width="16.7265625" customWidth="1"/>
  </cols>
  <sheetData>
    <row r="1" spans="1:10" ht="18.5" x14ac:dyDescent="0.45">
      <c r="A1" s="6" t="s">
        <v>218</v>
      </c>
    </row>
    <row r="2" spans="1:10" x14ac:dyDescent="0.35">
      <c r="A2" s="7" t="s">
        <v>219</v>
      </c>
    </row>
    <row r="3" spans="1:10" ht="29" x14ac:dyDescent="0.35">
      <c r="A3" s="2" t="s">
        <v>220</v>
      </c>
      <c r="B3" s="2" t="s">
        <v>221</v>
      </c>
      <c r="C3" s="2" t="s">
        <v>155</v>
      </c>
      <c r="D3" s="2" t="s">
        <v>156</v>
      </c>
      <c r="E3" s="2" t="s">
        <v>157</v>
      </c>
      <c r="F3" s="2" t="s">
        <v>158</v>
      </c>
      <c r="G3" s="2" t="s">
        <v>159</v>
      </c>
      <c r="H3" s="2" t="s">
        <v>160</v>
      </c>
      <c r="I3" s="2" t="s">
        <v>161</v>
      </c>
      <c r="J3" s="2" t="s">
        <v>162</v>
      </c>
    </row>
    <row r="4" spans="1:10" x14ac:dyDescent="0.35">
      <c r="A4" s="3" t="s">
        <v>222</v>
      </c>
      <c r="B4" s="4" t="s">
        <v>223</v>
      </c>
      <c r="C4" s="5">
        <f>AVERAGE('3_INDEX_SCORES'!D4:D6)</f>
        <v>-4.1135627120935658E-3</v>
      </c>
      <c r="D4" s="5">
        <f>AVERAGE('3_INDEX_SCORES'!E4:E6)</f>
        <v>-0.1363705446242906</v>
      </c>
      <c r="E4" s="5">
        <f>AVERAGE('3_INDEX_SCORES'!F4:F6)</f>
        <v>-0.19146250464262438</v>
      </c>
      <c r="F4" s="5">
        <f>AVERAGE('3_INDEX_SCORES'!G4:G6)</f>
        <v>-2.2136252175530734E-2</v>
      </c>
      <c r="G4" s="5">
        <f>AVERAGE('3_INDEX_SCORES'!H4:H6)</f>
        <v>-3.7861939941718548E-2</v>
      </c>
      <c r="H4" s="5">
        <f>AVERAGE('3_INDEX_SCORES'!I4:I6)</f>
        <v>-0.19051098207893336</v>
      </c>
      <c r="I4" s="5">
        <f>AVERAGE('3_INDEX_SCORES'!J4:J6)</f>
        <v>-8.8012879128237062E-2</v>
      </c>
      <c r="J4" s="5">
        <f>AVERAGE('3_INDEX_SCORES'!K4:K6)</f>
        <v>4.1693933651850972E-2</v>
      </c>
    </row>
    <row r="5" spans="1:10" x14ac:dyDescent="0.35">
      <c r="A5" s="3" t="s">
        <v>224</v>
      </c>
      <c r="B5" s="4" t="s">
        <v>225</v>
      </c>
      <c r="C5" s="5">
        <f>AVERAGE('3_INDEX_SCORES'!D4:D8)</f>
        <v>4.6268093254616506E-3</v>
      </c>
      <c r="D5" s="5">
        <f>AVERAGE('3_INDEX_SCORES'!E4:E8)</f>
        <v>-0.138052024215712</v>
      </c>
      <c r="E5" s="5">
        <f>AVERAGE('3_INDEX_SCORES'!F4:F8)</f>
        <v>-0.18666523365016749</v>
      </c>
      <c r="F5" s="5">
        <f>AVERAGE('3_INDEX_SCORES'!G4:G8)</f>
        <v>-5.4644608023118159E-3</v>
      </c>
      <c r="G5" s="5">
        <f>AVERAGE('3_INDEX_SCORES'!H4:H8)</f>
        <v>-4.7619541473876051E-2</v>
      </c>
      <c r="H5" s="5">
        <f>AVERAGE('3_INDEX_SCORES'!I4:I8)</f>
        <v>-0.16007768013941079</v>
      </c>
      <c r="I5" s="5">
        <f>AVERAGE('3_INDEX_SCORES'!J4:J8)</f>
        <v>-6.9993437704998815E-2</v>
      </c>
      <c r="J5" s="5">
        <f>AVERAGE('3_INDEX_SCORES'!K4:K8)</f>
        <v>2.1686822988200367E-2</v>
      </c>
    </row>
    <row r="6" spans="1:10" x14ac:dyDescent="0.35">
      <c r="A6" s="3" t="s">
        <v>226</v>
      </c>
      <c r="B6" s="4" t="s">
        <v>227</v>
      </c>
      <c r="C6" s="5">
        <f>AVERAGE('3_INDEX_SCORES'!D4:D23)</f>
        <v>2.1913955096377596E-2</v>
      </c>
      <c r="D6" s="5">
        <f>AVERAGE('3_INDEX_SCORES'!E4:E23)</f>
        <v>-0.16063910384094163</v>
      </c>
      <c r="E6" s="5">
        <f>AVERAGE('3_INDEX_SCORES'!F4:F23)</f>
        <v>-0.19125822672920931</v>
      </c>
      <c r="F6" s="5">
        <f>AVERAGE('3_INDEX_SCORES'!G4:G23)</f>
        <v>1.0566974954580848E-2</v>
      </c>
      <c r="G6" s="5">
        <f>AVERAGE('3_INDEX_SCORES'!H4:H23)</f>
        <v>-0.10766755033852915</v>
      </c>
      <c r="H6" s="5">
        <f>AVERAGE('3_INDEX_SCORES'!I4:I23)</f>
        <v>-6.9236512538374109E-2</v>
      </c>
      <c r="I6" s="5">
        <f>AVERAGE('3_INDEX_SCORES'!J4:J23)</f>
        <v>8.7858394706224648E-3</v>
      </c>
      <c r="J6" s="5">
        <f>AVERAGE('3_INDEX_SCORES'!K4:K23)</f>
        <v>7.3279825390298663E-4</v>
      </c>
    </row>
    <row r="7" spans="1:10" x14ac:dyDescent="0.35">
      <c r="A7" s="3" t="s">
        <v>228</v>
      </c>
      <c r="B7" s="4" t="s">
        <v>229</v>
      </c>
      <c r="C7" s="5">
        <f>MAX('3_INDEX_SCORES'!D4:D23)</f>
        <v>3.8981222411333227E-2</v>
      </c>
      <c r="D7" s="5">
        <f>MAX('3_INDEX_SCORES'!E4:E23)</f>
        <v>-0.13132863615699614</v>
      </c>
      <c r="E7" s="5">
        <f>MAX('3_INDEX_SCORES'!F4:F23)</f>
        <v>-0.15694938916669193</v>
      </c>
      <c r="F7" s="5">
        <f>MAX('3_INDEX_SCORES'!G4:G23)</f>
        <v>4.4987500983903535E-2</v>
      </c>
      <c r="G7" s="5">
        <f>MAX('3_INDEX_SCORES'!H4:H23)</f>
        <v>-1.965468716904327E-2</v>
      </c>
      <c r="H7" s="5">
        <f>MAX('3_INDEX_SCORES'!I4:I23)</f>
        <v>6.4596557104442051E-3</v>
      </c>
      <c r="I7" s="5">
        <f>MAX('3_INDEX_SCORES'!J4:J23)</f>
        <v>0.13757824403595342</v>
      </c>
      <c r="J7" s="5">
        <f>MAX('3_INDEX_SCORES'!K4:K23)</f>
        <v>0.11444003554077953</v>
      </c>
    </row>
    <row r="8" spans="1:10" x14ac:dyDescent="0.35">
      <c r="A8" s="3" t="s">
        <v>230</v>
      </c>
      <c r="B8" s="4" t="s">
        <v>231</v>
      </c>
      <c r="C8" s="5">
        <f>AVERAGE('3_INDEX_SCORES'!D21:D23)</f>
        <v>2.4372021670144416E-2</v>
      </c>
      <c r="D8" s="5">
        <f>AVERAGE('3_INDEX_SCORES'!E21:E23)</f>
        <v>-0.19885575851235149</v>
      </c>
      <c r="E8" s="5">
        <f>AVERAGE('3_INDEX_SCORES'!F21:F23)</f>
        <v>-0.2465359317152819</v>
      </c>
      <c r="F8" s="5">
        <f>AVERAGE('3_INDEX_SCORES'!G21:G23)</f>
        <v>-8.9047327181232885E-3</v>
      </c>
      <c r="G8" s="5">
        <f>AVERAGE('3_INDEX_SCORES'!H21:H23)</f>
        <v>-0.15212654104708387</v>
      </c>
      <c r="H8" s="5">
        <f>AVERAGE('3_INDEX_SCORES'!I21:I23)</f>
        <v>-5.0520206681523495E-2</v>
      </c>
      <c r="I8" s="5">
        <f>AVERAGE('3_INDEX_SCORES'!J21:J23)</f>
        <v>1.0026150319377786E-2</v>
      </c>
      <c r="J8" s="5">
        <f>AVERAGE('3_INDEX_SCORES'!K21:K23)</f>
        <v>6.4897823629098766E-2</v>
      </c>
    </row>
    <row r="9" spans="1:10" x14ac:dyDescent="0.35">
      <c r="A9" s="3" t="s">
        <v>232</v>
      </c>
      <c r="B9" s="4" t="s">
        <v>233</v>
      </c>
      <c r="C9" s="5" t="str">
        <f>IFERROR(AVERAGEIF('2_FRAME_MARKUP'!F4:F23,1,'3_INDEX_SCORES'!D4:D23),"—")</f>
        <v>—</v>
      </c>
      <c r="D9" s="5" t="str">
        <f>IFERROR(AVERAGEIF('2_FRAME_MARKUP'!F4:F23,1,'3_INDEX_SCORES'!E4:E23),"—")</f>
        <v>—</v>
      </c>
      <c r="E9" s="5" t="str">
        <f>IFERROR(AVERAGEIF('2_FRAME_MARKUP'!F4:F23,1,'3_INDEX_SCORES'!F4:F23),"—")</f>
        <v>—</v>
      </c>
      <c r="F9" s="5" t="str">
        <f>IFERROR(AVERAGEIF('2_FRAME_MARKUP'!F4:F23,1,'3_INDEX_SCORES'!G4:G23),"—")</f>
        <v>—</v>
      </c>
      <c r="G9" s="5" t="str">
        <f>IFERROR(AVERAGEIF('2_FRAME_MARKUP'!F4:F23,1,'3_INDEX_SCORES'!H4:H23),"—")</f>
        <v>—</v>
      </c>
      <c r="H9" s="5" t="str">
        <f>IFERROR(AVERAGEIF('2_FRAME_MARKUP'!F4:F23,1,'3_INDEX_SCORES'!I4:I23),"—")</f>
        <v>—</v>
      </c>
      <c r="I9" s="5" t="str">
        <f>IFERROR(AVERAGEIF('2_FRAME_MARKUP'!F4:F23,1,'3_INDEX_SCORES'!J4:J23),"—")</f>
        <v>—</v>
      </c>
      <c r="J9" s="5" t="str">
        <f>IFERROR(AVERAGEIF('2_FRAME_MARKUP'!F4:F23,1,'3_INDEX_SCORES'!K4:K23),"—")</f>
        <v>—</v>
      </c>
    </row>
    <row r="10" spans="1:10" x14ac:dyDescent="0.35">
      <c r="A10" s="3" t="s">
        <v>234</v>
      </c>
      <c r="B10" s="4" t="s">
        <v>235</v>
      </c>
      <c r="C10" s="5" t="str">
        <f>IFERROR(AVERAGEIF('2_FRAME_MARKUP'!H4:H23,1,'3_INDEX_SCORES'!D4:D23),"—")</f>
        <v>—</v>
      </c>
      <c r="D10" s="5" t="str">
        <f>IFERROR(AVERAGEIF('2_FRAME_MARKUP'!H4:H23,1,'3_INDEX_SCORES'!E4:E23),"—")</f>
        <v>—</v>
      </c>
      <c r="E10" s="5" t="str">
        <f>IFERROR(AVERAGEIF('2_FRAME_MARKUP'!H4:H23,1,'3_INDEX_SCORES'!F4:F23),"—")</f>
        <v>—</v>
      </c>
      <c r="F10" s="5" t="str">
        <f>IFERROR(AVERAGEIF('2_FRAME_MARKUP'!H4:H23,1,'3_INDEX_SCORES'!G4:G23),"—")</f>
        <v>—</v>
      </c>
      <c r="G10" s="5" t="str">
        <f>IFERROR(AVERAGEIF('2_FRAME_MARKUP'!H4:H23,1,'3_INDEX_SCORES'!H4:H23),"—")</f>
        <v>—</v>
      </c>
      <c r="H10" s="5" t="str">
        <f>IFERROR(AVERAGEIF('2_FRAME_MARKUP'!H4:H23,1,'3_INDEX_SCORES'!I4:I23),"—")</f>
        <v>—</v>
      </c>
      <c r="I10" s="5" t="str">
        <f>IFERROR(AVERAGEIF('2_FRAME_MARKUP'!H4:H23,1,'3_INDEX_SCORES'!J4:J23),"—")</f>
        <v>—</v>
      </c>
      <c r="J10" s="5" t="str">
        <f>IFERROR(AVERAGEIF('2_FRAME_MARKUP'!H4:H23,1,'3_INDEX_SCORES'!K4:K23),"—")</f>
        <v>—</v>
      </c>
    </row>
    <row r="11" spans="1:10" x14ac:dyDescent="0.35">
      <c r="A11" s="3" t="s">
        <v>236</v>
      </c>
      <c r="B11" s="4" t="s">
        <v>237</v>
      </c>
      <c r="C11" s="5" t="str">
        <f>IFERROR(AVERAGEIF('2_FRAME_MARKUP'!I4:I23,1,'3_INDEX_SCORES'!D4:D23),"—")</f>
        <v>—</v>
      </c>
      <c r="D11" s="5" t="str">
        <f>IFERROR(AVERAGEIF('2_FRAME_MARKUP'!I4:I23,1,'3_INDEX_SCORES'!E4:E23),"—")</f>
        <v>—</v>
      </c>
      <c r="E11" s="5" t="str">
        <f>IFERROR(AVERAGEIF('2_FRAME_MARKUP'!I4:I23,1,'3_INDEX_SCORES'!F4:F23),"—")</f>
        <v>—</v>
      </c>
      <c r="F11" s="5" t="str">
        <f>IFERROR(AVERAGEIF('2_FRAME_MARKUP'!I4:I23,1,'3_INDEX_SCORES'!G4:G23),"—")</f>
        <v>—</v>
      </c>
      <c r="G11" s="5" t="str">
        <f>IFERROR(AVERAGEIF('2_FRAME_MARKUP'!I4:I23,1,'3_INDEX_SCORES'!H4:H23),"—")</f>
        <v>—</v>
      </c>
      <c r="H11" s="5" t="str">
        <f>IFERROR(AVERAGEIF('2_FRAME_MARKUP'!I4:I23,1,'3_INDEX_SCORES'!I4:I23),"—")</f>
        <v>—</v>
      </c>
      <c r="I11" s="5" t="str">
        <f>IFERROR(AVERAGEIF('2_FRAME_MARKUP'!I4:I23,1,'3_INDEX_SCORES'!J4:J23),"—")</f>
        <v>—</v>
      </c>
      <c r="J11" s="5" t="str">
        <f>IFERROR(AVERAGEIF('2_FRAME_MARKUP'!I4:I23,1,'3_INDEX_SCORES'!K4:K23),"—")</f>
        <v>—</v>
      </c>
    </row>
    <row r="12" spans="1:10" x14ac:dyDescent="0.35">
      <c r="A12" s="3" t="s">
        <v>238</v>
      </c>
      <c r="B12" s="4" t="s">
        <v>239</v>
      </c>
      <c r="C12" s="5" t="str">
        <f>IFERROR(AVERAGEIF('2_FRAME_MARKUP'!G4:G23,1,'3_INDEX_SCORES'!D4:D23),"—")</f>
        <v>—</v>
      </c>
      <c r="D12" s="5" t="str">
        <f>IFERROR(AVERAGEIF('2_FRAME_MARKUP'!G4:G23,1,'3_INDEX_SCORES'!E4:E23),"—")</f>
        <v>—</v>
      </c>
      <c r="E12" s="5" t="str">
        <f>IFERROR(AVERAGEIF('2_FRAME_MARKUP'!G4:G23,1,'3_INDEX_SCORES'!F4:F23),"—")</f>
        <v>—</v>
      </c>
      <c r="F12" s="5" t="str">
        <f>IFERROR(AVERAGEIF('2_FRAME_MARKUP'!G4:G23,1,'3_INDEX_SCORES'!G4:G23),"—")</f>
        <v>—</v>
      </c>
      <c r="G12" s="5" t="str">
        <f>IFERROR(AVERAGEIF('2_FRAME_MARKUP'!G4:G23,1,'3_INDEX_SCORES'!H4:H23),"—")</f>
        <v>—</v>
      </c>
      <c r="H12" s="5" t="str">
        <f>IFERROR(AVERAGEIF('2_FRAME_MARKUP'!G4:G23,1,'3_INDEX_SCORES'!I4:I23),"—")</f>
        <v>—</v>
      </c>
      <c r="I12" s="5" t="str">
        <f>IFERROR(AVERAGEIF('2_FRAME_MARKUP'!G4:G23,1,'3_INDEX_SCORES'!J4:J23),"—")</f>
        <v>—</v>
      </c>
      <c r="J12" s="5" t="str">
        <f>IFERROR(AVERAGEIF('2_FRAME_MARKUP'!G4:G23,1,'3_INDEX_SCORES'!K4:K23),"—")</f>
        <v>—</v>
      </c>
    </row>
    <row r="13" spans="1:10" x14ac:dyDescent="0.35">
      <c r="A13" s="11" t="s">
        <v>262</v>
      </c>
      <c r="B13" s="12" t="s">
        <v>263</v>
      </c>
      <c r="C13" s="5">
        <f>IFERROR(AVERAGEIF('2_FRAME_MARKUP'!J4:J23,1,'3_INDEX_SCORES'!D4:D23),"—")</f>
        <v>5.8007150401120922E-3</v>
      </c>
      <c r="D13" s="5">
        <f>IFERROR(AVERAGEIF('2_FRAME_MARKUP'!J4:J23,1,'3_INDEX_SCORES'!E4:E23),"—")</f>
        <v>-0.13906496787243608</v>
      </c>
      <c r="E13" s="5">
        <f>IFERROR(AVERAGEIF('2_FRAME_MARKUP'!J4:J23,1,'3_INDEX_SCORES'!F4:F23),"—")</f>
        <v>-0.17254903884422751</v>
      </c>
      <c r="F13" s="5">
        <f>IFERROR(AVERAGEIF('2_FRAME_MARKUP'!J4:J23,1,'3_INDEX_SCORES'!G4:G23),"—")</f>
        <v>2.0066399017634323E-2</v>
      </c>
      <c r="G13" s="5">
        <f>IFERROR(AVERAGEIF('2_FRAME_MARKUP'!J4:J23,1,'3_INDEX_SCORES'!H4:H23),"—")</f>
        <v>-5.4941279757188238E-2</v>
      </c>
      <c r="H13" s="5">
        <f>IFERROR(AVERAGEIF('2_FRAME_MARKUP'!J4:J23,1,'3_INDEX_SCORES'!I4:I23),"—")</f>
        <v>-0.13448447193932631</v>
      </c>
      <c r="I13" s="5">
        <f>IFERROR(AVERAGEIF('2_FRAME_MARKUP'!J4:J23,1,'3_INDEX_SCORES'!J4:J23),"—")</f>
        <v>-4.3369047508687184E-2</v>
      </c>
      <c r="J13" s="5">
        <f>IFERROR(AVERAGEIF('2_FRAME_MARKUP'!J4:J23,1,'3_INDEX_SCORES'!K4:K23),"—")</f>
        <v>4.9442959896660813E-3</v>
      </c>
    </row>
    <row r="14" spans="1:10" x14ac:dyDescent="0.35">
      <c r="A14" s="3" t="s">
        <v>240</v>
      </c>
      <c r="B14" s="4" t="s">
        <v>241</v>
      </c>
      <c r="C14" s="5">
        <f>AVERAGE('3_INDEX_SCORES'!L4:L6)</f>
        <v>-1.8973134294119849</v>
      </c>
      <c r="D14" s="5">
        <f>AVERAGE('3_INDEX_SCORES'!M4:M6)</f>
        <v>1.1051797606610734</v>
      </c>
      <c r="E14" s="5">
        <f>AVERAGE('3_INDEX_SCORES'!N4:N6)</f>
        <v>-6.2044197616164531E-3</v>
      </c>
      <c r="F14" s="5">
        <f>AVERAGE('3_INDEX_SCORES'!O4:O6)</f>
        <v>-1.0265834100813873</v>
      </c>
      <c r="G14" s="5">
        <f>AVERAGE('3_INDEX_SCORES'!P4:P6)</f>
        <v>1.6577475951731928</v>
      </c>
      <c r="H14" s="5">
        <f>AVERAGE('3_INDEX_SCORES'!Q4:Q6)</f>
        <v>-1.8137285267217063</v>
      </c>
      <c r="I14" s="5">
        <f>AVERAGE('3_INDEX_SCORES'!R4:R6)</f>
        <v>-1.2873126105227835</v>
      </c>
      <c r="J14" s="5">
        <f>AVERAGE('3_INDEX_SCORES'!S4:S6)</f>
        <v>0.93279723754730615</v>
      </c>
    </row>
    <row r="15" spans="1:10" x14ac:dyDescent="0.35">
      <c r="A15" s="3" t="s">
        <v>242</v>
      </c>
      <c r="B15" s="4" t="s">
        <v>243</v>
      </c>
      <c r="C15" s="5">
        <f>AVERAGE('3_INDEX_SCORES'!L4:L23)</f>
        <v>-1.1102230246251565E-16</v>
      </c>
      <c r="D15" s="5">
        <f>AVERAGE('3_INDEX_SCORES'!M4:M23)</f>
        <v>0</v>
      </c>
      <c r="E15" s="5">
        <f>AVERAGE('3_INDEX_SCORES'!N4:N23)</f>
        <v>0</v>
      </c>
      <c r="F15" s="5">
        <f>AVERAGE('3_INDEX_SCORES'!O4:O23)</f>
        <v>0</v>
      </c>
      <c r="G15" s="5">
        <f>AVERAGE('3_INDEX_SCORES'!P4:P23)</f>
        <v>3.9968028886505636E-16</v>
      </c>
      <c r="H15" s="5">
        <f>AVERAGE('3_INDEX_SCORES'!Q4:Q23)</f>
        <v>2.1649348980190552E-16</v>
      </c>
      <c r="I15" s="5">
        <f>AVERAGE('3_INDEX_SCORES'!R4:R23)</f>
        <v>0</v>
      </c>
      <c r="J15" s="5">
        <f>AVERAGE('3_INDEX_SCORES'!S4:S23)</f>
        <v>0</v>
      </c>
    </row>
    <row r="16" spans="1:10" x14ac:dyDescent="0.35">
      <c r="A16" s="3" t="s">
        <v>244</v>
      </c>
      <c r="B16" s="4" t="s">
        <v>245</v>
      </c>
      <c r="C16" s="5" t="str">
        <f>IFERROR(AVERAGEIF('2_FRAME_MARKUP'!F4:F23,1,'3_INDEX_SCORES'!L4:L23),"—")</f>
        <v>—</v>
      </c>
      <c r="D16" s="5" t="str">
        <f>IFERROR(AVERAGEIF('2_FRAME_MARKUP'!F4:F23,1,'3_INDEX_SCORES'!M4:M23),"—")</f>
        <v>—</v>
      </c>
      <c r="E16" s="5" t="str">
        <f>IFERROR(AVERAGEIF('2_FRAME_MARKUP'!F4:F23,1,'3_INDEX_SCORES'!N4:N23),"—")</f>
        <v>—</v>
      </c>
      <c r="F16" s="5" t="str">
        <f>IFERROR(AVERAGEIF('2_FRAME_MARKUP'!F4:F23,1,'3_INDEX_SCORES'!O4:O23),"—")</f>
        <v>—</v>
      </c>
      <c r="G16" s="5" t="str">
        <f>IFERROR(AVERAGEIF('2_FRAME_MARKUP'!F4:F23,1,'3_INDEX_SCORES'!P4:P23),"—")</f>
        <v>—</v>
      </c>
      <c r="H16" s="5" t="str">
        <f>IFERROR(AVERAGEIF('2_FRAME_MARKUP'!F4:F23,1,'3_INDEX_SCORES'!Q4:Q23),"—")</f>
        <v>—</v>
      </c>
      <c r="I16" s="5" t="str">
        <f>IFERROR(AVERAGEIF('2_FRAME_MARKUP'!F4:F23,1,'3_INDEX_SCORES'!R4:R23),"—")</f>
        <v>—</v>
      </c>
      <c r="J16" s="5" t="str">
        <f>IFERROR(AVERAGEIF('2_FRAME_MARKUP'!F4:F23,1,'3_INDEX_SCORES'!S4:S23),"—")</f>
        <v>—</v>
      </c>
    </row>
    <row r="17" spans="1:10" x14ac:dyDescent="0.35">
      <c r="A17" s="3" t="s">
        <v>246</v>
      </c>
      <c r="B17" s="4" t="s">
        <v>247</v>
      </c>
      <c r="C17" s="5" t="str">
        <f>IFERROR(AVERAGEIF('2_FRAME_MARKUP'!H4:H23,1,'3_INDEX_SCORES'!L4:L23),"—")</f>
        <v>—</v>
      </c>
      <c r="D17" s="5" t="str">
        <f>IFERROR(AVERAGEIF('2_FRAME_MARKUP'!H4:H23,1,'3_INDEX_SCORES'!M4:M23),"—")</f>
        <v>—</v>
      </c>
      <c r="E17" s="5" t="str">
        <f>IFERROR(AVERAGEIF('2_FRAME_MARKUP'!H4:H23,1,'3_INDEX_SCORES'!N4:N23),"—")</f>
        <v>—</v>
      </c>
      <c r="F17" s="5" t="str">
        <f>IFERROR(AVERAGEIF('2_FRAME_MARKUP'!H4:H23,1,'3_INDEX_SCORES'!O4:O23),"—")</f>
        <v>—</v>
      </c>
      <c r="G17" s="5" t="str">
        <f>IFERROR(AVERAGEIF('2_FRAME_MARKUP'!H4:H23,1,'3_INDEX_SCORES'!P4:P23),"—")</f>
        <v>—</v>
      </c>
      <c r="H17" s="5" t="str">
        <f>IFERROR(AVERAGEIF('2_FRAME_MARKUP'!H4:H23,1,'3_INDEX_SCORES'!Q4:Q23),"—")</f>
        <v>—</v>
      </c>
      <c r="I17" s="5" t="str">
        <f>IFERROR(AVERAGEIF('2_FRAME_MARKUP'!H4:H23,1,'3_INDEX_SCORES'!R4:R23),"—")</f>
        <v>—</v>
      </c>
      <c r="J17" s="5" t="str">
        <f>IFERROR(AVERAGEIF('2_FRAME_MARKUP'!H4:H23,1,'3_INDEX_SCORES'!S4:S23),"—")</f>
        <v>—</v>
      </c>
    </row>
    <row r="18" spans="1:10" x14ac:dyDescent="0.35">
      <c r="A18" s="3" t="s">
        <v>248</v>
      </c>
      <c r="B18" s="4" t="s">
        <v>249</v>
      </c>
      <c r="C18" s="5">
        <f>MAX('3_INDEX_SCORES'!L4:L23)</f>
        <v>1.2441430534528426</v>
      </c>
      <c r="D18" s="5">
        <f>MAX('3_INDEX_SCORES'!M4:M23)</f>
        <v>1.3347861061970849</v>
      </c>
      <c r="E18" s="5">
        <f>MAX('3_INDEX_SCORES'!N4:N23)</f>
        <v>1.0420432939241564</v>
      </c>
      <c r="F18" s="5">
        <f>MAX('3_INDEX_SCORES'!O4:O23)</f>
        <v>1.080490951164937</v>
      </c>
      <c r="G18" s="5">
        <f>MAX('3_INDEX_SCORES'!P4:P23)</f>
        <v>2.090134466758975</v>
      </c>
      <c r="H18" s="5">
        <f>MAX('3_INDEX_SCORES'!Q4:Q23)</f>
        <v>1.1320791609027929</v>
      </c>
      <c r="I18" s="5">
        <f>MAX('3_INDEX_SCORES'!R4:R23)</f>
        <v>1.7127921622968263</v>
      </c>
      <c r="J18" s="5">
        <f>MAX('3_INDEX_SCORES'!S4:S23)</f>
        <v>2.5894252148989017</v>
      </c>
    </row>
    <row r="21" spans="1:10" ht="18.5" x14ac:dyDescent="0.45">
      <c r="A21" s="6" t="s">
        <v>250</v>
      </c>
    </row>
    <row r="22" spans="1:10" x14ac:dyDescent="0.35">
      <c r="A22" s="3" t="s">
        <v>251</v>
      </c>
      <c r="B22" s="4" t="s">
        <v>252</v>
      </c>
      <c r="C22" s="3" t="str">
        <f>IFERROR(IF('4_WINDOW_AGGREGATES'!C8-'4_WINDOW_AGGREGATES'!C9&gt;0.3,"🚩 Рассинхрон","OK"),"—")</f>
        <v>—</v>
      </c>
    </row>
    <row r="23" spans="1:10" x14ac:dyDescent="0.35">
      <c r="A23" s="3" t="s">
        <v>253</v>
      </c>
      <c r="B23" s="4" t="s">
        <v>254</v>
      </c>
      <c r="C23" s="3" t="str">
        <f>IFERROR(IF('4_WINDOW_AGGREGATES'!C9&lt;'4_WINDOW_AGGREGATES'!C6,"⚠ Brand ниже среднего","OK"),"—")</f>
        <v>OK</v>
      </c>
    </row>
    <row r="24" spans="1:10" ht="29" x14ac:dyDescent="0.35">
      <c r="A24" s="3" t="s">
        <v>255</v>
      </c>
      <c r="B24" s="4" t="s">
        <v>256</v>
      </c>
      <c r="C24" s="3" t="str">
        <f>IFERROR(IF('4_WINDOW_AGGREGATES'!F6-'4_WINDOW_AGGREGATES'!F9&gt;0.05,"⚠ История запомнится, бренд нет","OK"),"—")</f>
        <v>—</v>
      </c>
    </row>
    <row r="25" spans="1:10" x14ac:dyDescent="0.35">
      <c r="A25" s="3" t="s">
        <v>257</v>
      </c>
      <c r="B25" s="4" t="s">
        <v>258</v>
      </c>
      <c r="C25" s="3" t="str">
        <f>IFERROR(IF('4_WINDOW_AGGREGATES'!K10&gt;'4_WINDOW_AGGREGATES'!J10,"🚩 Оффер перегружен","OK"),"—")</f>
        <v>OK</v>
      </c>
    </row>
    <row r="26" spans="1:10" x14ac:dyDescent="0.35">
      <c r="A26" s="3" t="s">
        <v>259</v>
      </c>
      <c r="B26" s="4" t="s">
        <v>260</v>
      </c>
      <c r="C26" s="3" t="str">
        <f>IFERROR(IF('4_WINDOW_AGGREGATES'!G10&lt;0.05,"⚠ Оффер не мотивирует","OK"),"—")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1_RAW_CORRELATIONS</vt:lpstr>
      <vt:lpstr>README</vt:lpstr>
      <vt:lpstr>3_INDEX_SCORES</vt:lpstr>
      <vt:lpstr>2_FRAME_MARKUP</vt:lpstr>
      <vt:lpstr>5_WEIGHTS_REF</vt:lpstr>
      <vt:lpstr>4_WINDOW_AGGREGATES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Shigorina (MediaDirection Group Russia)</dc:creator>
  <cp:lastModifiedBy>Olga Shigorina (MediaDirection Group Russia)</cp:lastModifiedBy>
  <dcterms:created xsi:type="dcterms:W3CDTF">2026-06-24T17:59:47Z</dcterms:created>
  <dcterms:modified xsi:type="dcterms:W3CDTF">2026-07-04T09:45:00Z</dcterms:modified>
</cp:coreProperties>
</file>